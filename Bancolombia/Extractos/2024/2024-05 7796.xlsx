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66" documentId="11_5F086075D285451E89F70D7D112A0D627633A384" xr6:coauthVersionLast="47" xr6:coauthVersionMax="47" xr10:uidLastSave="{2CB533DF-CCF1-4886-8156-4F040BBDA519}"/>
  <bookViews>
    <workbookView xWindow="44320" yWindow="0" windowWidth="13370" windowHeight="20970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71" i="2"/>
  <c r="E69" i="2"/>
  <c r="E28" i="2"/>
  <c r="E51" i="2"/>
  <c r="E68" i="2"/>
</calcChain>
</file>

<file path=xl/sharedStrings.xml><?xml version="1.0" encoding="utf-8"?>
<sst xmlns="http://schemas.openxmlformats.org/spreadsheetml/2006/main" count="286" uniqueCount="199">
  <si>
    <t/>
  </si>
  <si>
    <t>LA CEJA</t>
  </si>
  <si>
    <t>30/05/2024</t>
  </si>
  <si>
    <t>Número de Autorización</t>
  </si>
  <si>
    <t>Fecha de Transacción</t>
  </si>
  <si>
    <t>Descripción</t>
  </si>
  <si>
    <t>Valor Original</t>
  </si>
  <si>
    <t>T04278</t>
  </si>
  <si>
    <t>27/05/2024</t>
  </si>
  <si>
    <t>APPLE.COM/BILL</t>
  </si>
  <si>
    <t>C08960</t>
  </si>
  <si>
    <t>15/05/2024</t>
  </si>
  <si>
    <t>ABONO SUCURSAL VIRTUAL</t>
  </si>
  <si>
    <t>R03842</t>
  </si>
  <si>
    <t>14/05/2024</t>
  </si>
  <si>
    <t>DRI*Adobe Sales</t>
  </si>
  <si>
    <t>194,479.77</t>
  </si>
  <si>
    <t>4,962,000.00</t>
  </si>
  <si>
    <t>INTERESES CORRIENTES</t>
  </si>
  <si>
    <t>R07384</t>
  </si>
  <si>
    <t>29/05/2024</t>
  </si>
  <si>
    <t>MERCOLANTA MONTE MADER</t>
  </si>
  <si>
    <t>29,950.00</t>
  </si>
  <si>
    <t>R06187</t>
  </si>
  <si>
    <t>28/05/2024</t>
  </si>
  <si>
    <t>FIJACIONES OROZCO</t>
  </si>
  <si>
    <t>222,768.00</t>
  </si>
  <si>
    <t>T08186</t>
  </si>
  <si>
    <t>RECARGA AUTOMATICA FLYPASS</t>
  </si>
  <si>
    <t>100,000.00</t>
  </si>
  <si>
    <t>R05265</t>
  </si>
  <si>
    <t>CAPIRO VIVERO</t>
  </si>
  <si>
    <t>39,000.00</t>
  </si>
  <si>
    <t>R06264</t>
  </si>
  <si>
    <t>25/05/2024</t>
  </si>
  <si>
    <t>348,300.00</t>
  </si>
  <si>
    <t>R04457</t>
  </si>
  <si>
    <t>24/05/2024</t>
  </si>
  <si>
    <t>BIKE HOUSE LA CEJA</t>
  </si>
  <si>
    <t>343,000.00</t>
  </si>
  <si>
    <t>R05610</t>
  </si>
  <si>
    <t>R0485Z</t>
  </si>
  <si>
    <t>23/05/2024</t>
  </si>
  <si>
    <t>EPM SERVICIOS PUBLICOS</t>
  </si>
  <si>
    <t>143,529.00</t>
  </si>
  <si>
    <t>R0486Z</t>
  </si>
  <si>
    <t>TIGO SERVICIOS HOGAR Y</t>
  </si>
  <si>
    <t>96,828.00</t>
  </si>
  <si>
    <t>O01963</t>
  </si>
  <si>
    <t>CLINICA SAN JUAN DE DI</t>
  </si>
  <si>
    <t>20,700.00</t>
  </si>
  <si>
    <t>R05743</t>
  </si>
  <si>
    <t>22/05/2024</t>
  </si>
  <si>
    <t>R6003Z</t>
  </si>
  <si>
    <t>21/05/2024</t>
  </si>
  <si>
    <t>956,274.00</t>
  </si>
  <si>
    <t>R06459</t>
  </si>
  <si>
    <t>TDAS PTO GEF VIVA ENVI</t>
  </si>
  <si>
    <t>524,152.00</t>
  </si>
  <si>
    <t>R05780</t>
  </si>
  <si>
    <t>BANANA BELTS</t>
  </si>
  <si>
    <t>170,000.00</t>
  </si>
  <si>
    <t>R04302</t>
  </si>
  <si>
    <t>POLO CLUB VIVA ENVIGAD</t>
  </si>
  <si>
    <t>174,860.00</t>
  </si>
  <si>
    <t>R08840</t>
  </si>
  <si>
    <t>AMAZON.COM</t>
  </si>
  <si>
    <t>234,518.00</t>
  </si>
  <si>
    <t>R08407</t>
  </si>
  <si>
    <t>20/05/2024</t>
  </si>
  <si>
    <t>PAYU*PAYU COLOMBIA MC</t>
  </si>
  <si>
    <t>190,400.00</t>
  </si>
  <si>
    <t>R00972</t>
  </si>
  <si>
    <t>19/05/2024</t>
  </si>
  <si>
    <t>178,192.00</t>
  </si>
  <si>
    <t>R00925</t>
  </si>
  <si>
    <t>18/05/2024</t>
  </si>
  <si>
    <t>TIENDA D1 CANTARRANA</t>
  </si>
  <si>
    <t>23,900.00</t>
  </si>
  <si>
    <t>U04596</t>
  </si>
  <si>
    <t>17/05/2024</t>
  </si>
  <si>
    <t>IMPUESTO DIAN PSE</t>
  </si>
  <si>
    <t>R02989</t>
  </si>
  <si>
    <t>16/05/2024</t>
  </si>
  <si>
    <t>MATERIALES MAESTRO COL</t>
  </si>
  <si>
    <t>143,950.00</t>
  </si>
  <si>
    <t>R01457</t>
  </si>
  <si>
    <t>EXITO LA CEJA</t>
  </si>
  <si>
    <t>75,420.00</t>
  </si>
  <si>
    <t>R08507</t>
  </si>
  <si>
    <t>25,794.00</t>
  </si>
  <si>
    <t>R08597</t>
  </si>
  <si>
    <t>DOLLARCITY VIVA LA CEJ</t>
  </si>
  <si>
    <t>101,000.00</t>
  </si>
  <si>
    <t>R05376</t>
  </si>
  <si>
    <t>32,000.00</t>
  </si>
  <si>
    <t>R05165</t>
  </si>
  <si>
    <t>SURAMERICANA SEGUROS D</t>
  </si>
  <si>
    <t>759,251.00</t>
  </si>
  <si>
    <t>R05193</t>
  </si>
  <si>
    <t>2,274,922.00</t>
  </si>
  <si>
    <t>C08807</t>
  </si>
  <si>
    <t>49,112,640.00-</t>
  </si>
  <si>
    <t>R5196Z</t>
  </si>
  <si>
    <t>CORPAUL</t>
  </si>
  <si>
    <t>10,000.00</t>
  </si>
  <si>
    <t>R02008</t>
  </si>
  <si>
    <t>PROBIKE BIKEXPERTS</t>
  </si>
  <si>
    <t>13,000,000.00</t>
  </si>
  <si>
    <t>R04808</t>
  </si>
  <si>
    <t>PRICESMART</t>
  </si>
  <si>
    <t>944,381.00</t>
  </si>
  <si>
    <t>R03239</t>
  </si>
  <si>
    <t>12/05/2024</t>
  </si>
  <si>
    <t>443,000.00</t>
  </si>
  <si>
    <t>R03807</t>
  </si>
  <si>
    <t>R09723</t>
  </si>
  <si>
    <t>11/05/2024</t>
  </si>
  <si>
    <t>45,200.00</t>
  </si>
  <si>
    <t>R07370</t>
  </si>
  <si>
    <t>158,308.00</t>
  </si>
  <si>
    <t>R04618</t>
  </si>
  <si>
    <t>326,086.00</t>
  </si>
  <si>
    <t>R05652</t>
  </si>
  <si>
    <t>86,810.00</t>
  </si>
  <si>
    <t>R3617Z</t>
  </si>
  <si>
    <t>192,438.00</t>
  </si>
  <si>
    <t>R3618Z</t>
  </si>
  <si>
    <t>77,147.00</t>
  </si>
  <si>
    <t>R07398</t>
  </si>
  <si>
    <t>10/05/2024</t>
  </si>
  <si>
    <t>LOCATEL LA CEJA</t>
  </si>
  <si>
    <t>57,600.00</t>
  </si>
  <si>
    <t>R02663</t>
  </si>
  <si>
    <t>33,107.00</t>
  </si>
  <si>
    <t>O08694</t>
  </si>
  <si>
    <t>20,900.00</t>
  </si>
  <si>
    <t>000000</t>
  </si>
  <si>
    <t>09/05/2024</t>
  </si>
  <si>
    <t>AJUSTE MANUAL A FAVOR</t>
  </si>
  <si>
    <t>199,450.00-</t>
  </si>
  <si>
    <t>R07351</t>
  </si>
  <si>
    <t>1,142,720.00</t>
  </si>
  <si>
    <t>R02444</t>
  </si>
  <si>
    <t>MADECENTRO</t>
  </si>
  <si>
    <t>1,713,895.00</t>
  </si>
  <si>
    <t>R06471</t>
  </si>
  <si>
    <t>08/05/2024</t>
  </si>
  <si>
    <t>163,462.00</t>
  </si>
  <si>
    <t>R05727</t>
  </si>
  <si>
    <t>250,448.00</t>
  </si>
  <si>
    <t>R02440</t>
  </si>
  <si>
    <t>143,063.00</t>
  </si>
  <si>
    <t>R05579</t>
  </si>
  <si>
    <t>198,300.00</t>
  </si>
  <si>
    <t>R05591</t>
  </si>
  <si>
    <t>R00997</t>
  </si>
  <si>
    <t>ECOPLASTICOS LA CEJA</t>
  </si>
  <si>
    <t>127,700.00</t>
  </si>
  <si>
    <t>T00094</t>
  </si>
  <si>
    <t>07/05/2024</t>
  </si>
  <si>
    <t>R02759</t>
  </si>
  <si>
    <t>MADECENTRO EL TESORO M</t>
  </si>
  <si>
    <t>26,512.00</t>
  </si>
  <si>
    <t>R04580</t>
  </si>
  <si>
    <t>PLATAFORMA DIGITAL</t>
  </si>
  <si>
    <t>6,730,879.00</t>
  </si>
  <si>
    <t>R09461</t>
  </si>
  <si>
    <t>HYM HENNES MAURITZ COL</t>
  </si>
  <si>
    <t>540,000.00</t>
  </si>
  <si>
    <t>R05970</t>
  </si>
  <si>
    <t>06/05/2024</t>
  </si>
  <si>
    <t>INVERSIONES RAMEJ SAS</t>
  </si>
  <si>
    <t>148,100.00</t>
  </si>
  <si>
    <t>R08034</t>
  </si>
  <si>
    <t>NETFLIX01*DL</t>
  </si>
  <si>
    <t>38,900.00</t>
  </si>
  <si>
    <t>R04996</t>
  </si>
  <si>
    <t>05/05/2024</t>
  </si>
  <si>
    <t>62,650.00</t>
  </si>
  <si>
    <t>R03240</t>
  </si>
  <si>
    <t>04/05/2024</t>
  </si>
  <si>
    <t>37,770.00</t>
  </si>
  <si>
    <t>R3940Z</t>
  </si>
  <si>
    <t>03/05/2024</t>
  </si>
  <si>
    <t>164,840.00</t>
  </si>
  <si>
    <t>R3941Z</t>
  </si>
  <si>
    <t>39,920.00</t>
  </si>
  <si>
    <t>R04815</t>
  </si>
  <si>
    <t>251,507.00</t>
  </si>
  <si>
    <t>R01836</t>
  </si>
  <si>
    <t>199,450.00</t>
  </si>
  <si>
    <t>R06282</t>
  </si>
  <si>
    <t>58,451.00</t>
  </si>
  <si>
    <t>R07588</t>
  </si>
  <si>
    <t>R00619</t>
  </si>
  <si>
    <t>TIENDA D1 LA CEJA SAN</t>
  </si>
  <si>
    <t>338,990.00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</si>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</sst>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286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164" fontId="4" fillId="0" borderId="0" xfId="0" applyNumberFormat="1" applyFont="1"/>
    <xf numFmtId="164" fontId="8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RowHeight="15" x14ac:dyDescent="0.25"/>
  <cols>
    <col min="1" max="2" width="12" customWidth="1"/>
    <col min="3" max="3" width="27.7109375" bestFit="1" customWidth="1"/>
    <col min="4" max="4" width="12" style="285" customWidth="1"/>
  </cols>
  <sheetData>
    <row r="1" spans="1:5" x14ac:dyDescent="0.25">
      <c r="A1" s="1" t="s">
        <v>3</v>
      </c>
      <c r="B1" s="2" t="s">
        <v>4</v>
      </c>
      <c r="C1" s="3" t="s">
        <v>5</v>
      </c>
      <c r="D1" s="281" t="s">
        <v>6</v>
      </c>
    </row>
    <row r="2" spans="1:5" x14ac:dyDescent="0.25">
      <c r="A2" s="4" t="s">
        <v>7</v>
      </c>
      <c r="B2" s="5" t="s">
        <v>8</v>
      </c>
      <c r="C2" s="6" t="s">
        <v>9</v>
      </c>
      <c r="D2" s="282">
        <v>3.36</v>
      </c>
    </row>
    <row r="3" spans="1:5" x14ac:dyDescent="0.25">
      <c r="A3" s="7" t="s">
        <v>10</v>
      </c>
      <c r="B3" s="8" t="s">
        <v>11</v>
      </c>
      <c r="C3" s="9" t="s">
        <v>12</v>
      </c>
      <c r="D3" s="283">
        <v>-16</v>
      </c>
    </row>
    <row r="4" spans="1:5" x14ac:dyDescent="0.25">
      <c r="A4" s="10" t="s">
        <v>13</v>
      </c>
      <c r="B4" s="11" t="s">
        <v>14</v>
      </c>
      <c r="C4" s="12" t="s">
        <v>15</v>
      </c>
      <c r="D4" s="284">
        <v>9.65</v>
      </c>
      <c r="E4" s="285">
        <f>SUM(D2:D4)</f>
        <v>-2.99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>
      <pane ySplit="1" topLeftCell="A50" activePane="bottomLeft" state="frozen"/>
      <selection pane="bottomLeft" activeCell="E71" sqref="E71"/>
    </sheetView>
  </sheetViews>
  <sheetFormatPr baseColWidth="10" defaultRowHeight="15" x14ac:dyDescent="0.25"/>
  <cols>
    <col min="1" max="2" width="12" customWidth="1"/>
    <col min="3" max="3" width="29.140625" bestFit="1" customWidth="1"/>
    <col min="4" max="5" width="11.42578125" style="286"/>
    <col min="6" max="6" width="20.140625" customWidth="1"/>
  </cols>
  <sheetData>
    <row r="1" spans="1:6" s="287" customFormat="1" ht="45" x14ac:dyDescent="0.25">
      <c r="A1" s="287" t="s">
        <v>3</v>
      </c>
      <c r="B1" s="287" t="s">
        <v>4</v>
      </c>
      <c r="C1" s="287" t="s">
        <v>5</v>
      </c>
      <c r="D1" s="287" t="s">
        <v>198</v>
      </c>
      <c r="F1" s="287" t="s">
        <v>6</v>
      </c>
    </row>
    <row r="2" spans="1:6" x14ac:dyDescent="0.25">
      <c r="A2" s="253" t="s">
        <v>183</v>
      </c>
      <c r="B2" s="254" t="s">
        <v>184</v>
      </c>
      <c r="C2" s="255" t="s">
        <v>43</v>
      </c>
      <c r="D2" s="286">
        <v>164840</v>
      </c>
      <c r="F2" s="256" t="s">
        <v>185</v>
      </c>
    </row>
    <row r="3" spans="1:6" x14ac:dyDescent="0.25">
      <c r="A3" s="257" t="s">
        <v>186</v>
      </c>
      <c r="B3" s="258" t="s">
        <v>184</v>
      </c>
      <c r="C3" s="259" t="s">
        <v>46</v>
      </c>
      <c r="D3" s="286">
        <v>39920</v>
      </c>
      <c r="F3" s="260" t="s">
        <v>187</v>
      </c>
    </row>
    <row r="4" spans="1:6" x14ac:dyDescent="0.25">
      <c r="A4" s="261" t="s">
        <v>188</v>
      </c>
      <c r="B4" s="262" t="s">
        <v>184</v>
      </c>
      <c r="C4" s="263" t="s">
        <v>87</v>
      </c>
      <c r="D4" s="286">
        <v>251507</v>
      </c>
      <c r="F4" s="264" t="s">
        <v>189</v>
      </c>
    </row>
    <row r="5" spans="1:6" x14ac:dyDescent="0.25">
      <c r="A5" s="265" t="s">
        <v>190</v>
      </c>
      <c r="B5" s="266" t="s">
        <v>184</v>
      </c>
      <c r="C5" s="267" t="s">
        <v>66</v>
      </c>
      <c r="D5" s="286">
        <v>199450</v>
      </c>
      <c r="F5" s="268" t="s">
        <v>191</v>
      </c>
    </row>
    <row r="6" spans="1:6" x14ac:dyDescent="0.25">
      <c r="A6" s="269" t="s">
        <v>192</v>
      </c>
      <c r="B6" s="270" t="s">
        <v>184</v>
      </c>
      <c r="C6" s="271" t="s">
        <v>66</v>
      </c>
      <c r="D6" s="286">
        <v>58451</v>
      </c>
      <c r="F6" s="272" t="s">
        <v>193</v>
      </c>
    </row>
    <row r="7" spans="1:6" x14ac:dyDescent="0.25">
      <c r="A7" s="273" t="s">
        <v>194</v>
      </c>
      <c r="B7" s="274" t="s">
        <v>184</v>
      </c>
      <c r="C7" s="275" t="s">
        <v>66</v>
      </c>
      <c r="D7" s="286">
        <v>199450</v>
      </c>
      <c r="F7" s="276" t="s">
        <v>191</v>
      </c>
    </row>
    <row r="8" spans="1:6" x14ac:dyDescent="0.25">
      <c r="A8" s="277" t="s">
        <v>195</v>
      </c>
      <c r="B8" s="278" t="s">
        <v>184</v>
      </c>
      <c r="C8" s="279" t="s">
        <v>196</v>
      </c>
      <c r="D8" s="286">
        <v>338990</v>
      </c>
      <c r="F8" s="280" t="s">
        <v>197</v>
      </c>
    </row>
    <row r="9" spans="1:6" x14ac:dyDescent="0.25">
      <c r="A9" s="249" t="s">
        <v>180</v>
      </c>
      <c r="B9" s="250" t="s">
        <v>181</v>
      </c>
      <c r="C9" s="251" t="s">
        <v>77</v>
      </c>
      <c r="D9" s="286">
        <v>37770</v>
      </c>
      <c r="F9" s="252" t="s">
        <v>182</v>
      </c>
    </row>
    <row r="10" spans="1:6" x14ac:dyDescent="0.25">
      <c r="A10" s="245" t="s">
        <v>177</v>
      </c>
      <c r="B10" s="246" t="s">
        <v>178</v>
      </c>
      <c r="C10" s="247" t="s">
        <v>21</v>
      </c>
      <c r="D10" s="286">
        <v>62650</v>
      </c>
      <c r="F10" s="248" t="s">
        <v>179</v>
      </c>
    </row>
    <row r="11" spans="1:6" x14ac:dyDescent="0.25">
      <c r="A11" s="237" t="s">
        <v>170</v>
      </c>
      <c r="B11" s="238" t="s">
        <v>171</v>
      </c>
      <c r="C11" s="239" t="s">
        <v>172</v>
      </c>
      <c r="D11" s="286">
        <v>148100</v>
      </c>
      <c r="F11" s="240" t="s">
        <v>173</v>
      </c>
    </row>
    <row r="12" spans="1:6" x14ac:dyDescent="0.25">
      <c r="A12" s="241" t="s">
        <v>174</v>
      </c>
      <c r="B12" s="242" t="s">
        <v>171</v>
      </c>
      <c r="C12" s="243" t="s">
        <v>175</v>
      </c>
      <c r="D12" s="286">
        <v>38900</v>
      </c>
      <c r="F12" s="244" t="s">
        <v>176</v>
      </c>
    </row>
    <row r="13" spans="1:6" x14ac:dyDescent="0.25">
      <c r="A13" s="221" t="s">
        <v>159</v>
      </c>
      <c r="B13" s="222" t="s">
        <v>160</v>
      </c>
      <c r="C13" s="223" t="s">
        <v>28</v>
      </c>
      <c r="D13" s="286">
        <v>100000</v>
      </c>
      <c r="F13" s="224" t="s">
        <v>29</v>
      </c>
    </row>
    <row r="14" spans="1:6" x14ac:dyDescent="0.25">
      <c r="A14" s="225" t="s">
        <v>161</v>
      </c>
      <c r="B14" s="226" t="s">
        <v>160</v>
      </c>
      <c r="C14" s="227" t="s">
        <v>162</v>
      </c>
      <c r="D14" s="286">
        <v>26512</v>
      </c>
      <c r="F14" s="228" t="s">
        <v>163</v>
      </c>
    </row>
    <row r="15" spans="1:6" x14ac:dyDescent="0.25">
      <c r="A15" s="229" t="s">
        <v>164</v>
      </c>
      <c r="B15" s="230" t="s">
        <v>160</v>
      </c>
      <c r="C15" s="231" t="s">
        <v>165</v>
      </c>
      <c r="D15" s="286">
        <v>6730879</v>
      </c>
      <c r="F15" s="232" t="s">
        <v>166</v>
      </c>
    </row>
    <row r="16" spans="1:6" x14ac:dyDescent="0.25">
      <c r="A16" s="233" t="s">
        <v>167</v>
      </c>
      <c r="B16" s="234" t="s">
        <v>160</v>
      </c>
      <c r="C16" s="235" t="s">
        <v>168</v>
      </c>
      <c r="D16" s="286">
        <v>540000</v>
      </c>
      <c r="F16" s="236" t="s">
        <v>169</v>
      </c>
    </row>
    <row r="17" spans="1:6" x14ac:dyDescent="0.25">
      <c r="A17" s="197" t="s">
        <v>146</v>
      </c>
      <c r="B17" s="198" t="s">
        <v>147</v>
      </c>
      <c r="C17" s="199" t="s">
        <v>66</v>
      </c>
      <c r="D17" s="286">
        <v>163462</v>
      </c>
      <c r="F17" s="200" t="s">
        <v>148</v>
      </c>
    </row>
    <row r="18" spans="1:6" x14ac:dyDescent="0.25">
      <c r="A18" s="201" t="s">
        <v>149</v>
      </c>
      <c r="B18" s="202" t="s">
        <v>147</v>
      </c>
      <c r="C18" s="203" t="s">
        <v>66</v>
      </c>
      <c r="D18" s="286">
        <v>250448</v>
      </c>
      <c r="F18" s="204" t="s">
        <v>150</v>
      </c>
    </row>
    <row r="19" spans="1:6" x14ac:dyDescent="0.25">
      <c r="A19" s="205" t="s">
        <v>151</v>
      </c>
      <c r="B19" s="206" t="s">
        <v>147</v>
      </c>
      <c r="C19" s="207" t="s">
        <v>66</v>
      </c>
      <c r="D19" s="286">
        <v>143063</v>
      </c>
      <c r="F19" s="208" t="s">
        <v>152</v>
      </c>
    </row>
    <row r="20" spans="1:6" x14ac:dyDescent="0.25">
      <c r="A20" s="209" t="s">
        <v>153</v>
      </c>
      <c r="B20" s="210" t="s">
        <v>147</v>
      </c>
      <c r="C20" s="211" t="s">
        <v>66</v>
      </c>
      <c r="D20" s="286">
        <v>198300</v>
      </c>
      <c r="F20" s="212" t="s">
        <v>154</v>
      </c>
    </row>
    <row r="21" spans="1:6" x14ac:dyDescent="0.25">
      <c r="A21" s="213" t="s">
        <v>155</v>
      </c>
      <c r="B21" s="214" t="s">
        <v>147</v>
      </c>
      <c r="C21" s="215" t="s">
        <v>66</v>
      </c>
      <c r="D21" s="286">
        <v>198300</v>
      </c>
      <c r="F21" s="216" t="s">
        <v>154</v>
      </c>
    </row>
    <row r="22" spans="1:6" x14ac:dyDescent="0.25">
      <c r="A22" s="217" t="s">
        <v>156</v>
      </c>
      <c r="B22" s="218" t="s">
        <v>147</v>
      </c>
      <c r="C22" s="219" t="s">
        <v>157</v>
      </c>
      <c r="D22" s="286">
        <v>127700</v>
      </c>
      <c r="F22" s="220" t="s">
        <v>158</v>
      </c>
    </row>
    <row r="23" spans="1:6" x14ac:dyDescent="0.25">
      <c r="A23" s="185" t="s">
        <v>137</v>
      </c>
      <c r="B23" s="186" t="s">
        <v>138</v>
      </c>
      <c r="C23" s="187" t="s">
        <v>139</v>
      </c>
      <c r="D23" s="286">
        <v>-199450</v>
      </c>
      <c r="F23" s="188" t="s">
        <v>140</v>
      </c>
    </row>
    <row r="24" spans="1:6" x14ac:dyDescent="0.25">
      <c r="A24" s="189" t="s">
        <v>141</v>
      </c>
      <c r="B24" s="190" t="s">
        <v>138</v>
      </c>
      <c r="C24" s="191" t="s">
        <v>1</v>
      </c>
      <c r="D24" s="286">
        <v>1142720</v>
      </c>
      <c r="F24" s="192" t="s">
        <v>142</v>
      </c>
    </row>
    <row r="25" spans="1:6" x14ac:dyDescent="0.25">
      <c r="A25" s="193" t="s">
        <v>143</v>
      </c>
      <c r="B25" s="194" t="s">
        <v>138</v>
      </c>
      <c r="C25" s="195" t="s">
        <v>144</v>
      </c>
      <c r="D25" s="286">
        <v>1713895</v>
      </c>
      <c r="F25" s="196" t="s">
        <v>145</v>
      </c>
    </row>
    <row r="26" spans="1:6" x14ac:dyDescent="0.25">
      <c r="A26" s="173" t="s">
        <v>129</v>
      </c>
      <c r="B26" s="174" t="s">
        <v>130</v>
      </c>
      <c r="C26" s="175" t="s">
        <v>131</v>
      </c>
      <c r="D26" s="286">
        <v>57600</v>
      </c>
      <c r="F26" s="176" t="s">
        <v>132</v>
      </c>
    </row>
    <row r="27" spans="1:6" x14ac:dyDescent="0.25">
      <c r="A27" s="177" t="s">
        <v>133</v>
      </c>
      <c r="B27" s="178" t="s">
        <v>130</v>
      </c>
      <c r="C27" s="179" t="s">
        <v>66</v>
      </c>
      <c r="D27" s="286">
        <v>33107</v>
      </c>
      <c r="F27" s="180" t="s">
        <v>134</v>
      </c>
    </row>
    <row r="28" spans="1:6" x14ac:dyDescent="0.25">
      <c r="A28" s="181" t="s">
        <v>135</v>
      </c>
      <c r="B28" s="182" t="s">
        <v>130</v>
      </c>
      <c r="C28" s="183" t="s">
        <v>49</v>
      </c>
      <c r="D28" s="286">
        <v>20900</v>
      </c>
      <c r="E28" s="286">
        <f>SUM($D$2:D28)</f>
        <v>12787464</v>
      </c>
      <c r="F28" s="184" t="s">
        <v>136</v>
      </c>
    </row>
    <row r="29" spans="1:6" x14ac:dyDescent="0.25">
      <c r="A29" s="149" t="s">
        <v>116</v>
      </c>
      <c r="B29" s="150" t="s">
        <v>117</v>
      </c>
      <c r="C29" s="151" t="s">
        <v>92</v>
      </c>
      <c r="D29" s="286">
        <v>45200</v>
      </c>
      <c r="F29" s="152" t="s">
        <v>118</v>
      </c>
    </row>
    <row r="30" spans="1:6" x14ac:dyDescent="0.25">
      <c r="A30" s="153" t="s">
        <v>119</v>
      </c>
      <c r="B30" s="154" t="s">
        <v>117</v>
      </c>
      <c r="C30" s="155" t="s">
        <v>66</v>
      </c>
      <c r="D30" s="286">
        <v>158308</v>
      </c>
      <c r="F30" s="156" t="s">
        <v>120</v>
      </c>
    </row>
    <row r="31" spans="1:6" x14ac:dyDescent="0.25">
      <c r="A31" s="157" t="s">
        <v>121</v>
      </c>
      <c r="B31" s="158" t="s">
        <v>117</v>
      </c>
      <c r="C31" s="159" t="s">
        <v>66</v>
      </c>
      <c r="D31" s="286">
        <v>326086</v>
      </c>
      <c r="F31" s="160" t="s">
        <v>122</v>
      </c>
    </row>
    <row r="32" spans="1:6" x14ac:dyDescent="0.25">
      <c r="A32" s="161" t="s">
        <v>123</v>
      </c>
      <c r="B32" s="162" t="s">
        <v>117</v>
      </c>
      <c r="C32" s="163" t="s">
        <v>77</v>
      </c>
      <c r="D32" s="286">
        <v>86810</v>
      </c>
      <c r="F32" s="164" t="s">
        <v>124</v>
      </c>
    </row>
    <row r="33" spans="1:6" x14ac:dyDescent="0.25">
      <c r="A33" s="165" t="s">
        <v>125</v>
      </c>
      <c r="B33" s="166" t="s">
        <v>117</v>
      </c>
      <c r="C33" s="167" t="s">
        <v>46</v>
      </c>
      <c r="D33" s="286">
        <v>192438</v>
      </c>
      <c r="F33" s="168" t="s">
        <v>126</v>
      </c>
    </row>
    <row r="34" spans="1:6" x14ac:dyDescent="0.25">
      <c r="A34" s="169" t="s">
        <v>127</v>
      </c>
      <c r="B34" s="170" t="s">
        <v>117</v>
      </c>
      <c r="C34" s="171" t="s">
        <v>46</v>
      </c>
      <c r="D34" s="286">
        <v>77147</v>
      </c>
      <c r="F34" s="172" t="s">
        <v>128</v>
      </c>
    </row>
    <row r="35" spans="1:6" x14ac:dyDescent="0.25">
      <c r="A35" s="141" t="s">
        <v>112</v>
      </c>
      <c r="B35" s="142" t="s">
        <v>113</v>
      </c>
      <c r="C35" s="143" t="s">
        <v>21</v>
      </c>
      <c r="D35" s="286">
        <v>443000</v>
      </c>
      <c r="F35" s="144" t="s">
        <v>114</v>
      </c>
    </row>
    <row r="36" spans="1:6" x14ac:dyDescent="0.25">
      <c r="A36" s="145" t="s">
        <v>115</v>
      </c>
      <c r="B36" s="146" t="s">
        <v>113</v>
      </c>
      <c r="C36" s="147" t="s">
        <v>21</v>
      </c>
      <c r="D36" s="286">
        <v>29950</v>
      </c>
      <c r="F36" s="148" t="s">
        <v>22</v>
      </c>
    </row>
    <row r="37" spans="1:6" x14ac:dyDescent="0.25">
      <c r="A37" s="133" t="s">
        <v>106</v>
      </c>
      <c r="B37" s="134" t="s">
        <v>14</v>
      </c>
      <c r="C37" s="135" t="s">
        <v>107</v>
      </c>
      <c r="D37" s="286">
        <v>13000000</v>
      </c>
      <c r="F37" s="136" t="s">
        <v>108</v>
      </c>
    </row>
    <row r="38" spans="1:6" x14ac:dyDescent="0.25">
      <c r="A38" s="137" t="s">
        <v>109</v>
      </c>
      <c r="B38" s="138" t="s">
        <v>14</v>
      </c>
      <c r="C38" s="139" t="s">
        <v>110</v>
      </c>
      <c r="D38" s="286">
        <v>944381</v>
      </c>
      <c r="F38" s="140" t="s">
        <v>111</v>
      </c>
    </row>
    <row r="39" spans="1:6" x14ac:dyDescent="0.25">
      <c r="A39" s="125" t="s">
        <v>101</v>
      </c>
      <c r="B39" s="126" t="s">
        <v>11</v>
      </c>
      <c r="C39" s="127" t="s">
        <v>12</v>
      </c>
      <c r="D39" s="286">
        <v>-49112640</v>
      </c>
      <c r="F39" s="128" t="s">
        <v>102</v>
      </c>
    </row>
    <row r="40" spans="1:6" x14ac:dyDescent="0.25">
      <c r="A40" s="129" t="s">
        <v>103</v>
      </c>
      <c r="B40" s="130" t="s">
        <v>11</v>
      </c>
      <c r="C40" s="131" t="s">
        <v>104</v>
      </c>
      <c r="D40" s="286">
        <v>10000</v>
      </c>
      <c r="F40" s="132" t="s">
        <v>105</v>
      </c>
    </row>
    <row r="41" spans="1:6" x14ac:dyDescent="0.25">
      <c r="A41" s="97" t="s">
        <v>82</v>
      </c>
      <c r="B41" s="98" t="s">
        <v>83</v>
      </c>
      <c r="C41" s="99" t="s">
        <v>84</v>
      </c>
      <c r="D41" s="286">
        <v>143950</v>
      </c>
      <c r="F41" s="100" t="s">
        <v>85</v>
      </c>
    </row>
    <row r="42" spans="1:6" x14ac:dyDescent="0.25">
      <c r="A42" s="101" t="s">
        <v>86</v>
      </c>
      <c r="B42" s="102" t="s">
        <v>83</v>
      </c>
      <c r="C42" s="103" t="s">
        <v>87</v>
      </c>
      <c r="D42" s="286">
        <v>75420</v>
      </c>
      <c r="F42" s="104" t="s">
        <v>88</v>
      </c>
    </row>
    <row r="43" spans="1:6" x14ac:dyDescent="0.25">
      <c r="A43" s="105" t="s">
        <v>89</v>
      </c>
      <c r="B43" s="106" t="s">
        <v>83</v>
      </c>
      <c r="C43" s="107" t="s">
        <v>87</v>
      </c>
      <c r="D43" s="286">
        <v>25794</v>
      </c>
      <c r="F43" s="108" t="s">
        <v>90</v>
      </c>
    </row>
    <row r="44" spans="1:6" x14ac:dyDescent="0.25">
      <c r="A44" s="109" t="s">
        <v>91</v>
      </c>
      <c r="B44" s="110" t="s">
        <v>83</v>
      </c>
      <c r="C44" s="111" t="s">
        <v>92</v>
      </c>
      <c r="D44" s="286">
        <v>101000</v>
      </c>
      <c r="F44" s="112" t="s">
        <v>93</v>
      </c>
    </row>
    <row r="45" spans="1:6" x14ac:dyDescent="0.25">
      <c r="A45" s="113" t="s">
        <v>94</v>
      </c>
      <c r="B45" s="114" t="s">
        <v>83</v>
      </c>
      <c r="C45" s="115" t="s">
        <v>92</v>
      </c>
      <c r="D45" s="286">
        <v>32000</v>
      </c>
      <c r="F45" s="116" t="s">
        <v>95</v>
      </c>
    </row>
    <row r="46" spans="1:6" x14ac:dyDescent="0.25">
      <c r="A46" s="117" t="s">
        <v>96</v>
      </c>
      <c r="B46" s="118" t="s">
        <v>83</v>
      </c>
      <c r="C46" s="119" t="s">
        <v>97</v>
      </c>
      <c r="D46" s="286">
        <v>759251</v>
      </c>
      <c r="F46" s="120" t="s">
        <v>98</v>
      </c>
    </row>
    <row r="47" spans="1:6" x14ac:dyDescent="0.25">
      <c r="A47" s="121" t="s">
        <v>99</v>
      </c>
      <c r="B47" s="122" t="s">
        <v>83</v>
      </c>
      <c r="C47" s="123" t="s">
        <v>97</v>
      </c>
      <c r="D47" s="286">
        <v>2274922</v>
      </c>
      <c r="F47" s="124" t="s">
        <v>100</v>
      </c>
    </row>
    <row r="48" spans="1:6" x14ac:dyDescent="0.25">
      <c r="A48" s="93" t="s">
        <v>79</v>
      </c>
      <c r="B48" s="94" t="s">
        <v>80</v>
      </c>
      <c r="C48" s="95" t="s">
        <v>81</v>
      </c>
      <c r="D48" s="286">
        <v>4962000</v>
      </c>
      <c r="F48" s="96" t="s">
        <v>17</v>
      </c>
    </row>
    <row r="49" spans="1:6" x14ac:dyDescent="0.25">
      <c r="A49" s="89" t="s">
        <v>75</v>
      </c>
      <c r="B49" s="90" t="s">
        <v>76</v>
      </c>
      <c r="C49" s="91" t="s">
        <v>77</v>
      </c>
      <c r="D49" s="286">
        <v>23900</v>
      </c>
      <c r="F49" s="92" t="s">
        <v>78</v>
      </c>
    </row>
    <row r="50" spans="1:6" x14ac:dyDescent="0.25">
      <c r="A50" s="85" t="s">
        <v>72</v>
      </c>
      <c r="B50" s="86" t="s">
        <v>73</v>
      </c>
      <c r="C50" s="87" t="s">
        <v>66</v>
      </c>
      <c r="D50" s="286">
        <v>178192</v>
      </c>
      <c r="F50" s="88" t="s">
        <v>74</v>
      </c>
    </row>
    <row r="51" spans="1:6" x14ac:dyDescent="0.25">
      <c r="A51" s="81" t="s">
        <v>68</v>
      </c>
      <c r="B51" s="82" t="s">
        <v>69</v>
      </c>
      <c r="C51" s="83" t="s">
        <v>70</v>
      </c>
      <c r="D51" s="286">
        <v>190400</v>
      </c>
      <c r="E51" s="286">
        <f>SUM($D$2:D51)</f>
        <v>-12245027</v>
      </c>
      <c r="F51" s="84" t="s">
        <v>71</v>
      </c>
    </row>
    <row r="52" spans="1:6" x14ac:dyDescent="0.25">
      <c r="A52" s="61" t="s">
        <v>53</v>
      </c>
      <c r="B52" s="62" t="s">
        <v>54</v>
      </c>
      <c r="C52" s="63" t="s">
        <v>43</v>
      </c>
      <c r="D52" s="286">
        <v>956274</v>
      </c>
      <c r="F52" s="64" t="s">
        <v>55</v>
      </c>
    </row>
    <row r="53" spans="1:6" x14ac:dyDescent="0.25">
      <c r="A53" s="65" t="s">
        <v>56</v>
      </c>
      <c r="B53" s="66" t="s">
        <v>54</v>
      </c>
      <c r="C53" s="67" t="s">
        <v>57</v>
      </c>
      <c r="D53" s="286">
        <v>524152</v>
      </c>
      <c r="F53" s="68" t="s">
        <v>58</v>
      </c>
    </row>
    <row r="54" spans="1:6" x14ac:dyDescent="0.25">
      <c r="A54" s="69" t="s">
        <v>59</v>
      </c>
      <c r="B54" s="70" t="s">
        <v>54</v>
      </c>
      <c r="C54" s="71" t="s">
        <v>60</v>
      </c>
      <c r="D54" s="286">
        <v>170000</v>
      </c>
      <c r="F54" s="72" t="s">
        <v>61</v>
      </c>
    </row>
    <row r="55" spans="1:6" x14ac:dyDescent="0.25">
      <c r="A55" s="73" t="s">
        <v>62</v>
      </c>
      <c r="B55" s="74" t="s">
        <v>54</v>
      </c>
      <c r="C55" s="75" t="s">
        <v>63</v>
      </c>
      <c r="D55" s="286">
        <v>174860</v>
      </c>
      <c r="F55" s="76" t="s">
        <v>64</v>
      </c>
    </row>
    <row r="56" spans="1:6" x14ac:dyDescent="0.25">
      <c r="A56" s="77" t="s">
        <v>65</v>
      </c>
      <c r="B56" s="78" t="s">
        <v>54</v>
      </c>
      <c r="C56" s="79" t="s">
        <v>66</v>
      </c>
      <c r="D56" s="286">
        <v>234518</v>
      </c>
      <c r="F56" s="80" t="s">
        <v>67</v>
      </c>
    </row>
    <row r="57" spans="1:6" x14ac:dyDescent="0.25">
      <c r="A57" s="57" t="s">
        <v>51</v>
      </c>
      <c r="B57" s="58" t="s">
        <v>52</v>
      </c>
      <c r="C57" s="59" t="s">
        <v>21</v>
      </c>
      <c r="D57" s="286">
        <v>29950</v>
      </c>
      <c r="F57" s="60" t="s">
        <v>22</v>
      </c>
    </row>
    <row r="58" spans="1:6" x14ac:dyDescent="0.25">
      <c r="A58" s="45" t="s">
        <v>41</v>
      </c>
      <c r="B58" s="46" t="s">
        <v>42</v>
      </c>
      <c r="C58" s="47" t="s">
        <v>43</v>
      </c>
      <c r="D58" s="286">
        <v>143529</v>
      </c>
      <c r="F58" s="48" t="s">
        <v>44</v>
      </c>
    </row>
    <row r="59" spans="1:6" x14ac:dyDescent="0.25">
      <c r="A59" s="49" t="s">
        <v>45</v>
      </c>
      <c r="B59" s="50" t="s">
        <v>42</v>
      </c>
      <c r="C59" s="51" t="s">
        <v>46</v>
      </c>
      <c r="D59" s="286">
        <v>96828</v>
      </c>
      <c r="F59" s="52" t="s">
        <v>47</v>
      </c>
    </row>
    <row r="60" spans="1:6" x14ac:dyDescent="0.25">
      <c r="A60" s="53" t="s">
        <v>48</v>
      </c>
      <c r="B60" s="54" t="s">
        <v>42</v>
      </c>
      <c r="C60" s="55" t="s">
        <v>49</v>
      </c>
      <c r="D60" s="286">
        <v>20700</v>
      </c>
      <c r="F60" s="56" t="s">
        <v>50</v>
      </c>
    </row>
    <row r="61" spans="1:6" x14ac:dyDescent="0.25">
      <c r="A61" s="37" t="s">
        <v>36</v>
      </c>
      <c r="B61" s="38" t="s">
        <v>37</v>
      </c>
      <c r="C61" s="39" t="s">
        <v>38</v>
      </c>
      <c r="D61" s="286">
        <v>343000</v>
      </c>
      <c r="F61" s="40" t="s">
        <v>39</v>
      </c>
    </row>
    <row r="62" spans="1:6" x14ac:dyDescent="0.25">
      <c r="A62" s="41" t="s">
        <v>40</v>
      </c>
      <c r="B62" s="42" t="s">
        <v>37</v>
      </c>
      <c r="C62" s="43" t="s">
        <v>21</v>
      </c>
      <c r="D62" s="286">
        <v>29950</v>
      </c>
      <c r="F62" s="44" t="s">
        <v>22</v>
      </c>
    </row>
    <row r="63" spans="1:6" x14ac:dyDescent="0.25">
      <c r="A63" s="33" t="s">
        <v>33</v>
      </c>
      <c r="B63" s="34" t="s">
        <v>34</v>
      </c>
      <c r="C63" s="35" t="s">
        <v>31</v>
      </c>
      <c r="D63" s="286">
        <v>348300</v>
      </c>
      <c r="F63" s="36" t="s">
        <v>35</v>
      </c>
    </row>
    <row r="64" spans="1:6" x14ac:dyDescent="0.25">
      <c r="A64" s="29" t="s">
        <v>30</v>
      </c>
      <c r="B64" s="30" t="s">
        <v>8</v>
      </c>
      <c r="C64" s="31" t="s">
        <v>31</v>
      </c>
      <c r="D64" s="286">
        <v>39000</v>
      </c>
      <c r="F64" s="32" t="s">
        <v>32</v>
      </c>
    </row>
    <row r="65" spans="1:6" x14ac:dyDescent="0.25">
      <c r="A65" s="21" t="s">
        <v>23</v>
      </c>
      <c r="B65" s="22" t="s">
        <v>24</v>
      </c>
      <c r="C65" s="23" t="s">
        <v>25</v>
      </c>
      <c r="D65" s="286">
        <v>222768</v>
      </c>
      <c r="F65" s="24" t="s">
        <v>26</v>
      </c>
    </row>
    <row r="66" spans="1:6" x14ac:dyDescent="0.25">
      <c r="A66" s="25" t="s">
        <v>27</v>
      </c>
      <c r="B66" s="26" t="s">
        <v>24</v>
      </c>
      <c r="C66" s="27" t="s">
        <v>28</v>
      </c>
      <c r="D66" s="286">
        <v>100000</v>
      </c>
      <c r="F66" s="28" t="s">
        <v>29</v>
      </c>
    </row>
    <row r="67" spans="1:6" x14ac:dyDescent="0.25">
      <c r="A67" s="17" t="s">
        <v>19</v>
      </c>
      <c r="B67" s="18" t="s">
        <v>20</v>
      </c>
      <c r="C67" s="19" t="s">
        <v>21</v>
      </c>
      <c r="D67" s="286">
        <v>29950</v>
      </c>
      <c r="F67" s="20" t="s">
        <v>22</v>
      </c>
    </row>
    <row r="68" spans="1:6" x14ac:dyDescent="0.25">
      <c r="A68" s="13" t="s">
        <v>0</v>
      </c>
      <c r="B68" s="14" t="s">
        <v>2</v>
      </c>
      <c r="C68" s="15" t="s">
        <v>18</v>
      </c>
      <c r="D68" s="286">
        <v>194479.77</v>
      </c>
      <c r="E68" s="286">
        <f>SUM($D$2:D85)</f>
        <v>-8586768.2300000004</v>
      </c>
      <c r="F68" s="16" t="s">
        <v>16</v>
      </c>
    </row>
    <row r="69" spans="1:6" x14ac:dyDescent="0.25">
      <c r="E69" s="286">
        <f>SUM($D$52:D68)</f>
        <v>3658258.77</v>
      </c>
    </row>
    <row r="70" spans="1:6" x14ac:dyDescent="0.25">
      <c r="E70" s="286">
        <v>-3463779</v>
      </c>
    </row>
    <row r="71" spans="1:6" x14ac:dyDescent="0.25">
      <c r="E71" s="286">
        <f>+E69+E70</f>
        <v>194479.77000000002</v>
      </c>
    </row>
  </sheetData>
  <sortState xmlns:xlrd2="http://schemas.microsoft.com/office/spreadsheetml/2017/richdata2" ref="A2:C68">
    <sortCondition ref="B2:B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2024-06-04T12:50:07Z</dcterms:created>
  <dcterms:modified xsi:type="dcterms:W3CDTF">2024-06-04T18:01:03Z</dcterms:modified>
</cp:coreProperties>
</file>