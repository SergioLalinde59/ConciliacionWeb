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62" documentId="11_0F0858B0B40047C1A9AA3DCC112585389A45D947" xr6:coauthVersionLast="47" xr6:coauthVersionMax="47" xr10:uidLastSave="{6113F0EB-4454-42DB-8AE5-F96558E044FF}"/>
  <bookViews>
    <workbookView xWindow="19110" yWindow="0" windowWidth="8790" windowHeight="20970" activeTab="1" xr2:uid="{00000000-000D-0000-FFFF-FFFF00000000}"/>
  </bookViews>
  <sheets>
    <sheet name="DOLARES" sheetId="1" r:id="rId1"/>
    <sheet name="P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36" i="2"/>
  <c r="D47" i="2"/>
  <c r="D6" i="1"/>
  <c r="D2" i="1"/>
</calcChain>
</file>

<file path=xl/sharedStrings.xml><?xml version="1.0" encoding="utf-8"?>
<sst xmlns="http://schemas.openxmlformats.org/spreadsheetml/2006/main" count="108" uniqueCount="58">
  <si>
    <t>30/05/2024</t>
  </si>
  <si>
    <t>30/06/2024</t>
  </si>
  <si>
    <t>Fecha de Transacción</t>
  </si>
  <si>
    <t>Descripción</t>
  </si>
  <si>
    <t>Valor Original</t>
  </si>
  <si>
    <t>INTERESES CORRIENTES</t>
  </si>
  <si>
    <t>27/06/2024</t>
  </si>
  <si>
    <t>APPLE.COM/BILL</t>
  </si>
  <si>
    <t>26/06/2024</t>
  </si>
  <si>
    <t>eBay O*02-11750-87201</t>
  </si>
  <si>
    <t>18/06/2024</t>
  </si>
  <si>
    <t>ABONO SUCURSAL VIRTUAL</t>
  </si>
  <si>
    <t>13/06/2024</t>
  </si>
  <si>
    <t>DRI*Adobe Sales</t>
  </si>
  <si>
    <t>IMPACTO SOLAR</t>
  </si>
  <si>
    <t>25/06/2024</t>
  </si>
  <si>
    <t>AMAZON.COM</t>
  </si>
  <si>
    <t>23/06/2024</t>
  </si>
  <si>
    <t>TIENDA D1 CANTARRANA</t>
  </si>
  <si>
    <t>22/06/2024</t>
  </si>
  <si>
    <t>EXITO LA CEJA</t>
  </si>
  <si>
    <t>EDS EL ENCIERRO CEJA F</t>
  </si>
  <si>
    <t>21/06/2024</t>
  </si>
  <si>
    <t>CAPIRO VIVERO</t>
  </si>
  <si>
    <t>20/06/2024</t>
  </si>
  <si>
    <t>TIGO SERVICIOS HOGAR Y</t>
  </si>
  <si>
    <t>MADECENTRO LA CEJA</t>
  </si>
  <si>
    <t>WOMPI*Insulmarket</t>
  </si>
  <si>
    <t>19/06/2024</t>
  </si>
  <si>
    <t>EPM SERVICIOS PUBLICOS</t>
  </si>
  <si>
    <t>HOME SENTRY CC SANTA F</t>
  </si>
  <si>
    <t>AMBIENTE GOURMET SANTA</t>
  </si>
  <si>
    <t>FALABELLA</t>
  </si>
  <si>
    <t>PRICESMART</t>
  </si>
  <si>
    <t>17/06/2024</t>
  </si>
  <si>
    <t>SURAMERICANA SEGUROS D</t>
  </si>
  <si>
    <t>EDS LOS CRISTALES</t>
  </si>
  <si>
    <t>16/06/2024</t>
  </si>
  <si>
    <t>15/06/2024</t>
  </si>
  <si>
    <t>TIENDA D1 PRADERO LA F</t>
  </si>
  <si>
    <t>INVERSIONES TNS VIVA L</t>
  </si>
  <si>
    <t>CORPAUL</t>
  </si>
  <si>
    <t>11/06/2024</t>
  </si>
  <si>
    <t>10/06/2024</t>
  </si>
  <si>
    <t>09/06/2024</t>
  </si>
  <si>
    <t>EURO JARDINES DE LLANO</t>
  </si>
  <si>
    <t>08/06/2024</t>
  </si>
  <si>
    <t>DLO*Temu.com</t>
  </si>
  <si>
    <t>06/06/2024</t>
  </si>
  <si>
    <t>NETFLIX01*DL</t>
  </si>
  <si>
    <t>05/06/2024</t>
  </si>
  <si>
    <t>03/06/2024</t>
  </si>
  <si>
    <t>MEDELLIN 28 CCO VIVA L</t>
  </si>
  <si>
    <t>31/05/2024</t>
  </si>
  <si>
    <t>MERCOLANTA MONTE MADER</t>
  </si>
  <si>
    <t>MUNICIPIO DE LA CEJA</t>
  </si>
  <si>
    <t>TIENDA D1 LA CEJA SAN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</si>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</sst>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4" x14ac:knownFonts="1">
    <font>
      <sz val="11"/>
      <name val="Calibri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/>
    <xf numFmtId="164" fontId="9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164" fontId="18" fillId="0" borderId="0" xfId="0" applyNumberFormat="1" applyFont="1"/>
    <xf numFmtId="164" fontId="0" fillId="0" borderId="0" xfId="0" applyNumberForma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5" fontId="113" fillId="0" borderId="0" xfId="0" applyNumberFormat="1" applyFont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pane ySplit="1" topLeftCell="A2" activePane="bottomLeft" state="frozen"/>
      <selection pane="bottomLeft" activeCell="C2" sqref="C2"/>
    </sheetView>
  </sheetViews>
  <sheetFormatPr baseColWidth="10" defaultRowHeight="15" x14ac:dyDescent="0.25"/>
  <cols>
    <col min="1" max="1" width="14" customWidth="1"/>
    <col min="2" max="2" width="27.7109375" bestFit="1" customWidth="1"/>
    <col min="3" max="3" width="9" style="112" customWidth="1"/>
  </cols>
  <sheetData>
    <row r="1" spans="1:4" s="105" customFormat="1" ht="30" x14ac:dyDescent="0.25">
      <c r="A1" s="103" t="s">
        <v>2</v>
      </c>
      <c r="B1" s="104" t="s">
        <v>3</v>
      </c>
      <c r="C1" s="106" t="s">
        <v>4</v>
      </c>
    </row>
    <row r="2" spans="1:4" x14ac:dyDescent="0.25">
      <c r="A2" s="9" t="s">
        <v>12</v>
      </c>
      <c r="B2" s="10" t="s">
        <v>13</v>
      </c>
      <c r="C2" s="111">
        <v>9.51</v>
      </c>
      <c r="D2" s="112">
        <f>SUM(C1:C2)</f>
        <v>9.51</v>
      </c>
    </row>
    <row r="3" spans="1:4" x14ac:dyDescent="0.25">
      <c r="A3" s="7" t="s">
        <v>10</v>
      </c>
      <c r="B3" s="8" t="s">
        <v>11</v>
      </c>
      <c r="C3" s="110">
        <v>-13</v>
      </c>
    </row>
    <row r="4" spans="1:4" x14ac:dyDescent="0.25">
      <c r="A4" s="5" t="s">
        <v>8</v>
      </c>
      <c r="B4" s="6" t="s">
        <v>9</v>
      </c>
      <c r="C4" s="109">
        <v>13.23</v>
      </c>
    </row>
    <row r="5" spans="1:4" x14ac:dyDescent="0.25">
      <c r="A5" s="3" t="s">
        <v>6</v>
      </c>
      <c r="B5" s="4" t="s">
        <v>7</v>
      </c>
      <c r="C5" s="108">
        <v>3.14</v>
      </c>
    </row>
    <row r="6" spans="1:4" x14ac:dyDescent="0.25">
      <c r="A6" s="1" t="s">
        <v>1</v>
      </c>
      <c r="B6" s="2" t="s">
        <v>5</v>
      </c>
      <c r="C6" s="107">
        <v>0.3</v>
      </c>
      <c r="D6" s="112">
        <f>SUM(C2:C6)</f>
        <v>13.180000000000001</v>
      </c>
    </row>
  </sheetData>
  <sortState xmlns:xlrd2="http://schemas.microsoft.com/office/spreadsheetml/2017/richdata2" ref="A2:D6">
    <sortCondition ref="A3:A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RowHeight="15" x14ac:dyDescent="0.25"/>
  <cols>
    <col min="1" max="1" width="12" customWidth="1"/>
    <col min="2" max="2" width="26.7109375" bestFit="1" customWidth="1"/>
    <col min="3" max="3" width="11.42578125" style="116"/>
  </cols>
  <sheetData>
    <row r="1" spans="1:4" s="105" customFormat="1" ht="30" x14ac:dyDescent="0.25">
      <c r="A1" s="113" t="s">
        <v>2</v>
      </c>
      <c r="B1" s="114" t="s">
        <v>3</v>
      </c>
      <c r="C1" s="115" t="s">
        <v>57</v>
      </c>
    </row>
    <row r="2" spans="1:4" x14ac:dyDescent="0.25">
      <c r="A2" s="97" t="s">
        <v>0</v>
      </c>
      <c r="B2" s="98" t="s">
        <v>54</v>
      </c>
      <c r="C2" s="116">
        <v>29950</v>
      </c>
    </row>
    <row r="3" spans="1:4" x14ac:dyDescent="0.25">
      <c r="A3" s="99" t="s">
        <v>0</v>
      </c>
      <c r="B3" s="100" t="s">
        <v>55</v>
      </c>
      <c r="C3" s="116">
        <v>853498</v>
      </c>
    </row>
    <row r="4" spans="1:4" x14ac:dyDescent="0.25">
      <c r="A4" s="101" t="s">
        <v>0</v>
      </c>
      <c r="B4" s="102" t="s">
        <v>56</v>
      </c>
      <c r="C4" s="116">
        <v>32200</v>
      </c>
    </row>
    <row r="5" spans="1:4" x14ac:dyDescent="0.25">
      <c r="A5" s="95" t="s">
        <v>53</v>
      </c>
      <c r="B5" s="96" t="s">
        <v>54</v>
      </c>
      <c r="C5" s="116">
        <v>59900</v>
      </c>
      <c r="D5" s="116"/>
    </row>
    <row r="6" spans="1:4" x14ac:dyDescent="0.25">
      <c r="A6" s="91" t="s">
        <v>51</v>
      </c>
      <c r="B6" s="92" t="s">
        <v>20</v>
      </c>
      <c r="C6" s="116">
        <v>120975</v>
      </c>
    </row>
    <row r="7" spans="1:4" x14ac:dyDescent="0.25">
      <c r="A7" s="93" t="s">
        <v>51</v>
      </c>
      <c r="B7" s="94" t="s">
        <v>52</v>
      </c>
      <c r="C7" s="116">
        <v>38900</v>
      </c>
    </row>
    <row r="8" spans="1:4" x14ac:dyDescent="0.25">
      <c r="A8" s="87" t="s">
        <v>50</v>
      </c>
      <c r="B8" s="88" t="s">
        <v>25</v>
      </c>
      <c r="C8" s="116">
        <v>42320</v>
      </c>
    </row>
    <row r="9" spans="1:4" x14ac:dyDescent="0.25">
      <c r="A9" s="89" t="s">
        <v>50</v>
      </c>
      <c r="B9" s="90" t="s">
        <v>21</v>
      </c>
      <c r="C9" s="116">
        <v>18000</v>
      </c>
    </row>
    <row r="10" spans="1:4" x14ac:dyDescent="0.25">
      <c r="A10" s="83" t="s">
        <v>48</v>
      </c>
      <c r="B10" s="84" t="s">
        <v>49</v>
      </c>
      <c r="C10" s="116">
        <v>38900</v>
      </c>
    </row>
    <row r="11" spans="1:4" x14ac:dyDescent="0.25">
      <c r="A11" s="85" t="s">
        <v>48</v>
      </c>
      <c r="B11" s="86" t="s">
        <v>16</v>
      </c>
      <c r="C11" s="116">
        <v>173974</v>
      </c>
    </row>
    <row r="12" spans="1:4" x14ac:dyDescent="0.25">
      <c r="A12" s="81" t="s">
        <v>46</v>
      </c>
      <c r="B12" s="82" t="s">
        <v>47</v>
      </c>
      <c r="C12" s="116">
        <v>71476</v>
      </c>
    </row>
    <row r="13" spans="1:4" x14ac:dyDescent="0.25">
      <c r="A13" s="79" t="s">
        <v>44</v>
      </c>
      <c r="B13" s="80" t="s">
        <v>45</v>
      </c>
      <c r="C13" s="116">
        <v>34680</v>
      </c>
    </row>
    <row r="14" spans="1:4" x14ac:dyDescent="0.25">
      <c r="A14" s="77" t="s">
        <v>43</v>
      </c>
      <c r="B14" s="78" t="s">
        <v>23</v>
      </c>
      <c r="C14" s="116">
        <v>853000</v>
      </c>
      <c r="D14" s="116">
        <f>SUM($C$2:C14)</f>
        <v>2367773</v>
      </c>
    </row>
    <row r="15" spans="1:4" x14ac:dyDescent="0.25">
      <c r="A15" s="75" t="s">
        <v>42</v>
      </c>
      <c r="B15" s="76" t="s">
        <v>25</v>
      </c>
      <c r="C15" s="116">
        <v>192438</v>
      </c>
    </row>
    <row r="16" spans="1:4" x14ac:dyDescent="0.25">
      <c r="A16" s="67" t="s">
        <v>38</v>
      </c>
      <c r="B16" s="68" t="s">
        <v>20</v>
      </c>
      <c r="C16" s="116">
        <v>441479</v>
      </c>
    </row>
    <row r="17" spans="1:3" x14ac:dyDescent="0.25">
      <c r="A17" s="69" t="s">
        <v>38</v>
      </c>
      <c r="B17" s="70" t="s">
        <v>39</v>
      </c>
      <c r="C17" s="116">
        <v>24550</v>
      </c>
    </row>
    <row r="18" spans="1:3" x14ac:dyDescent="0.25">
      <c r="A18" s="71" t="s">
        <v>38</v>
      </c>
      <c r="B18" s="72" t="s">
        <v>40</v>
      </c>
      <c r="C18" s="116">
        <v>117300</v>
      </c>
    </row>
    <row r="19" spans="1:3" x14ac:dyDescent="0.25">
      <c r="A19" s="73" t="s">
        <v>38</v>
      </c>
      <c r="B19" s="74" t="s">
        <v>41</v>
      </c>
      <c r="C19" s="116">
        <v>10000</v>
      </c>
    </row>
    <row r="20" spans="1:3" x14ac:dyDescent="0.25">
      <c r="A20" s="65" t="s">
        <v>37</v>
      </c>
      <c r="B20" s="66" t="s">
        <v>18</v>
      </c>
      <c r="C20" s="116">
        <v>391640</v>
      </c>
    </row>
    <row r="21" spans="1:3" x14ac:dyDescent="0.25">
      <c r="A21" s="59" t="s">
        <v>34</v>
      </c>
      <c r="B21" s="60" t="s">
        <v>35</v>
      </c>
      <c r="C21" s="116">
        <v>759251</v>
      </c>
    </row>
    <row r="22" spans="1:3" x14ac:dyDescent="0.25">
      <c r="A22" s="61" t="s">
        <v>34</v>
      </c>
      <c r="B22" s="62" t="s">
        <v>35</v>
      </c>
      <c r="C22" s="116">
        <v>2274922</v>
      </c>
    </row>
    <row r="23" spans="1:3" x14ac:dyDescent="0.25">
      <c r="A23" s="63" t="s">
        <v>34</v>
      </c>
      <c r="B23" s="64" t="s">
        <v>36</v>
      </c>
      <c r="C23" s="116">
        <v>290300</v>
      </c>
    </row>
    <row r="24" spans="1:3" x14ac:dyDescent="0.25">
      <c r="A24" s="45" t="s">
        <v>10</v>
      </c>
      <c r="B24" s="46" t="s">
        <v>11</v>
      </c>
      <c r="C24" s="116">
        <v>-40725322</v>
      </c>
    </row>
    <row r="25" spans="1:3" x14ac:dyDescent="0.25">
      <c r="A25" s="47" t="s">
        <v>10</v>
      </c>
      <c r="B25" s="48" t="s">
        <v>29</v>
      </c>
      <c r="C25" s="116">
        <v>481813</v>
      </c>
    </row>
    <row r="26" spans="1:3" x14ac:dyDescent="0.25">
      <c r="A26" s="49" t="s">
        <v>10</v>
      </c>
      <c r="B26" s="50" t="s">
        <v>30</v>
      </c>
      <c r="C26" s="116">
        <v>90800</v>
      </c>
    </row>
    <row r="27" spans="1:3" x14ac:dyDescent="0.25">
      <c r="A27" s="51" t="s">
        <v>10</v>
      </c>
      <c r="B27" s="52" t="s">
        <v>31</v>
      </c>
      <c r="C27" s="116">
        <v>160800</v>
      </c>
    </row>
    <row r="28" spans="1:3" x14ac:dyDescent="0.25">
      <c r="A28" s="53" t="s">
        <v>10</v>
      </c>
      <c r="B28" s="54" t="s">
        <v>32</v>
      </c>
      <c r="C28" s="116">
        <v>242780</v>
      </c>
    </row>
    <row r="29" spans="1:3" x14ac:dyDescent="0.25">
      <c r="A29" s="55" t="s">
        <v>10</v>
      </c>
      <c r="B29" s="56" t="s">
        <v>32</v>
      </c>
      <c r="C29" s="116">
        <v>301980</v>
      </c>
    </row>
    <row r="30" spans="1:3" x14ac:dyDescent="0.25">
      <c r="A30" s="57" t="s">
        <v>10</v>
      </c>
      <c r="B30" s="58" t="s">
        <v>33</v>
      </c>
      <c r="C30" s="116">
        <v>1563307</v>
      </c>
    </row>
    <row r="31" spans="1:3" x14ac:dyDescent="0.25">
      <c r="A31" s="41" t="s">
        <v>28</v>
      </c>
      <c r="B31" s="42" t="s">
        <v>29</v>
      </c>
      <c r="C31" s="116">
        <v>1070728</v>
      </c>
    </row>
    <row r="32" spans="1:3" x14ac:dyDescent="0.25">
      <c r="A32" s="43" t="s">
        <v>28</v>
      </c>
      <c r="B32" s="44" t="s">
        <v>16</v>
      </c>
      <c r="C32" s="116">
        <v>176249</v>
      </c>
    </row>
    <row r="33" spans="1:4" x14ac:dyDescent="0.25">
      <c r="A33" s="33" t="s">
        <v>24</v>
      </c>
      <c r="B33" s="34" t="s">
        <v>25</v>
      </c>
      <c r="C33" s="116">
        <v>96828</v>
      </c>
    </row>
    <row r="34" spans="1:4" x14ac:dyDescent="0.25">
      <c r="A34" s="35" t="s">
        <v>24</v>
      </c>
      <c r="B34" s="36" t="s">
        <v>26</v>
      </c>
      <c r="C34" s="116">
        <v>141048</v>
      </c>
    </row>
    <row r="35" spans="1:4" x14ac:dyDescent="0.25">
      <c r="A35" s="37" t="s">
        <v>24</v>
      </c>
      <c r="B35" s="38" t="s">
        <v>27</v>
      </c>
      <c r="C35" s="116">
        <v>1514274</v>
      </c>
    </row>
    <row r="36" spans="1:4" x14ac:dyDescent="0.25">
      <c r="A36" s="39" t="s">
        <v>24</v>
      </c>
      <c r="B36" s="40" t="s">
        <v>23</v>
      </c>
      <c r="C36" s="116">
        <v>35000</v>
      </c>
      <c r="D36" s="116">
        <f>SUM($C$2:C36)</f>
        <v>-27980062</v>
      </c>
    </row>
    <row r="37" spans="1:4" x14ac:dyDescent="0.25">
      <c r="A37" s="29" t="s">
        <v>22</v>
      </c>
      <c r="B37" s="30" t="s">
        <v>16</v>
      </c>
      <c r="C37" s="116">
        <v>510819</v>
      </c>
    </row>
    <row r="38" spans="1:4" x14ac:dyDescent="0.25">
      <c r="A38" s="31" t="s">
        <v>22</v>
      </c>
      <c r="B38" s="32" t="s">
        <v>23</v>
      </c>
      <c r="C38" s="116">
        <v>140000</v>
      </c>
    </row>
    <row r="39" spans="1:4" x14ac:dyDescent="0.25">
      <c r="A39" s="25" t="s">
        <v>19</v>
      </c>
      <c r="B39" s="26" t="s">
        <v>20</v>
      </c>
      <c r="C39" s="116">
        <v>247092</v>
      </c>
    </row>
    <row r="40" spans="1:4" x14ac:dyDescent="0.25">
      <c r="A40" s="27" t="s">
        <v>19</v>
      </c>
      <c r="B40" s="28" t="s">
        <v>21</v>
      </c>
      <c r="C40" s="116">
        <v>23000</v>
      </c>
    </row>
    <row r="41" spans="1:4" x14ac:dyDescent="0.25">
      <c r="A41" s="19" t="s">
        <v>17</v>
      </c>
      <c r="B41" s="20" t="s">
        <v>16</v>
      </c>
      <c r="C41" s="116">
        <v>118730</v>
      </c>
    </row>
    <row r="42" spans="1:4" x14ac:dyDescent="0.25">
      <c r="A42" s="21" t="s">
        <v>17</v>
      </c>
      <c r="B42" s="22" t="s">
        <v>16</v>
      </c>
      <c r="C42" s="116">
        <v>36451</v>
      </c>
    </row>
    <row r="43" spans="1:4" x14ac:dyDescent="0.25">
      <c r="A43" s="23" t="s">
        <v>17</v>
      </c>
      <c r="B43" s="24" t="s">
        <v>18</v>
      </c>
      <c r="C43" s="116">
        <v>21170</v>
      </c>
    </row>
    <row r="44" spans="1:4" x14ac:dyDescent="0.25">
      <c r="A44" s="15" t="s">
        <v>15</v>
      </c>
      <c r="B44" s="16" t="s">
        <v>16</v>
      </c>
      <c r="C44" s="116">
        <v>380393</v>
      </c>
    </row>
    <row r="45" spans="1:4" x14ac:dyDescent="0.25">
      <c r="A45" s="17" t="s">
        <v>15</v>
      </c>
      <c r="B45" s="18" t="s">
        <v>16</v>
      </c>
      <c r="C45" s="116">
        <v>434836</v>
      </c>
    </row>
    <row r="46" spans="1:4" x14ac:dyDescent="0.25">
      <c r="A46" s="13" t="s">
        <v>8</v>
      </c>
      <c r="B46" s="14" t="s">
        <v>14</v>
      </c>
      <c r="C46" s="116">
        <v>5032940</v>
      </c>
    </row>
    <row r="47" spans="1:4" x14ac:dyDescent="0.25">
      <c r="A47" s="11" t="s">
        <v>1</v>
      </c>
      <c r="B47" s="12" t="s">
        <v>5</v>
      </c>
      <c r="C47" s="116">
        <v>67452.639999999999</v>
      </c>
      <c r="D47" s="116">
        <f>SUM($C$2:C47)</f>
        <v>-20967178.359999999</v>
      </c>
    </row>
  </sheetData>
  <sortState xmlns:xlrd2="http://schemas.microsoft.com/office/spreadsheetml/2017/richdata2" ref="A6:C47">
    <sortCondition ref="A7:A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2024-07-03T13:54:51Z</dcterms:created>
  <dcterms:modified xsi:type="dcterms:W3CDTF">2024-07-05T10:15:15Z</dcterms:modified>
</cp:coreProperties>
</file>