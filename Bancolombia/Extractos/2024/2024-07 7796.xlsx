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baa82c0f0f3862/0. SLB/Bancolombia/Extractos/2024/"/>
    </mc:Choice>
  </mc:AlternateContent>
  <xr:revisionPtr revIDLastSave="65" documentId="11_26EE77FFB4F3AEFA8C99357328691E11BF2CF8ED" xr6:coauthVersionLast="47" xr6:coauthVersionMax="47" xr10:uidLastSave="{3B93E9BB-D586-4314-BF07-6793F8EEBF4E}"/>
  <bookViews>
    <workbookView xWindow="24810" yWindow="0" windowWidth="13680" windowHeight="20970" activeTab="1" xr2:uid="{00000000-000D-0000-FFFF-FFFF00000000}"/>
  </bookViews>
  <sheets>
    <sheet name="DOLARES" sheetId="1" r:id="rId1"/>
    <sheet name="PESOS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1" i="2" l="1"/>
  <c r="D48" i="2"/>
  <c r="D39" i="2"/>
  <c r="D60" i="2" l="1"/>
  <c r="D25" i="2"/>
  <c r="E4" i="1"/>
</calcChain>
</file>

<file path=xl/sharedStrings.xml><?xml version="1.0" encoding="utf-8"?>
<sst xmlns="http://schemas.openxmlformats.org/spreadsheetml/2006/main" count="134" uniqueCount="63">
  <si>
    <t>30/06/2024</t>
  </si>
  <si>
    <t>Número de Autorización</t>
  </si>
  <si>
    <t>Fecha de Transacción</t>
  </si>
  <si>
    <t>Descripción</t>
  </si>
  <si>
    <t>Valor Original</t>
  </si>
  <si>
    <t>T02153</t>
  </si>
  <si>
    <t>27/07/2024</t>
  </si>
  <si>
    <t>APPLE.COM/BILL</t>
  </si>
  <si>
    <t>C03058</t>
  </si>
  <si>
    <t>15/07/2024</t>
  </si>
  <si>
    <t>ABONO SUCURSAL VIRTUAL</t>
  </si>
  <si>
    <t>R02967</t>
  </si>
  <si>
    <t>14/07/2024</t>
  </si>
  <si>
    <t>DRI*Adobe Sales</t>
  </si>
  <si>
    <t>28/07/2024</t>
  </si>
  <si>
    <t>INVERSIONES RAMEJ SAS</t>
  </si>
  <si>
    <t>AMAZON.COM</t>
  </si>
  <si>
    <t>MATERIALES MAESTRO COL</t>
  </si>
  <si>
    <t>DOLLARCITY VIVA LA CEJ</t>
  </si>
  <si>
    <t>DEPOS DE MATERIA CONST</t>
  </si>
  <si>
    <t>26/07/2024</t>
  </si>
  <si>
    <t>25/07/2024</t>
  </si>
  <si>
    <t>PLANTAS DEL TAMBO</t>
  </si>
  <si>
    <t>24/07/2024</t>
  </si>
  <si>
    <t>UNE TELCO UNE PAGO EXP</t>
  </si>
  <si>
    <t>23/07/2024</t>
  </si>
  <si>
    <t>RECARGA AUTOMATICA FLYPASS</t>
  </si>
  <si>
    <t>TIGO SERVICIOS HOGAR Y</t>
  </si>
  <si>
    <t>PRICESMART</t>
  </si>
  <si>
    <t>21/07/2024</t>
  </si>
  <si>
    <t>EPM SERVICIOS PUBLICOS</t>
  </si>
  <si>
    <t>20/07/2024</t>
  </si>
  <si>
    <t>EXITO LA CEJA</t>
  </si>
  <si>
    <t>19/07/2024</t>
  </si>
  <si>
    <t>MERCOLANTA MONTE MADER</t>
  </si>
  <si>
    <t>18/07/2024</t>
  </si>
  <si>
    <t>CAPIRO VIVERO</t>
  </si>
  <si>
    <t>TIENDA D1 LA CEJA SAN</t>
  </si>
  <si>
    <t>17/07/2024</t>
  </si>
  <si>
    <t>16/07/2024</t>
  </si>
  <si>
    <t>SURAMERICANA SEGUROS D</t>
  </si>
  <si>
    <t>CORPAUL</t>
  </si>
  <si>
    <t>12/07/2024</t>
  </si>
  <si>
    <t>FIRE HOUSE LA CEJA</t>
  </si>
  <si>
    <t>11/07/2024</t>
  </si>
  <si>
    <t>TUERCAS Y TORNILLOS RI</t>
  </si>
  <si>
    <t>DOBLAMOS</t>
  </si>
  <si>
    <t>10/07/2024</t>
  </si>
  <si>
    <t>09/07/2024</t>
  </si>
  <si>
    <t>08/07/2024</t>
  </si>
  <si>
    <t>MERCADOPAGO COLOMBIA</t>
  </si>
  <si>
    <t>07/07/2024</t>
  </si>
  <si>
    <t>BOLD*Eventos Alvaro</t>
  </si>
  <si>
    <t>TIENDA D1 LA CEJA 4</t>
  </si>
  <si>
    <t>06/07/2024</t>
  </si>
  <si>
    <t>NETFLIX01*DL</t>
  </si>
  <si>
    <t>05/07/2024</t>
  </si>
  <si>
    <t>04/07/2024</t>
  </si>
  <si>
    <t>CLARO OSCURO ENROLLABL</t>
  </si>
  <si>
    <t>02/07/2024</t>
  </si>
  <si>
    <t>01/07/2024</t>
  </si>
  <si>
    <t>VIVERO CASA FLORA</t>
  </si>
  <si>
    <t>29/06/2024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</si>
</sst>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3" x14ac:knownFonts="1">
    <font>
      <sz val="11"/>
      <name val="Calibri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165" fontId="2" fillId="0" borderId="0" xfId="0" applyNumberFormat="1" applyFont="1"/>
    <xf numFmtId="0" fontId="1" fillId="0" borderId="0" xfId="0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pane ySplit="1" topLeftCell="A2" activePane="bottomLeft" state="frozen"/>
      <selection pane="bottomLeft" activeCell="F5" sqref="F5"/>
    </sheetView>
  </sheetViews>
  <sheetFormatPr defaultRowHeight="14" x14ac:dyDescent="0.3"/>
  <cols>
    <col min="1" max="2" width="12" style="1" customWidth="1"/>
    <col min="3" max="3" width="31.54296875" style="1" bestFit="1" customWidth="1"/>
    <col min="4" max="4" width="8.54296875" style="2" bestFit="1" customWidth="1"/>
    <col min="5" max="16384" width="8.7265625" style="1"/>
  </cols>
  <sheetData>
    <row r="1" spans="1:5" s="3" customFormat="1" ht="42" x14ac:dyDescent="0.3">
      <c r="A1" s="3" t="s">
        <v>1</v>
      </c>
      <c r="B1" s="3" t="s">
        <v>2</v>
      </c>
      <c r="C1" s="3" t="s">
        <v>3</v>
      </c>
      <c r="D1" s="4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2">
        <v>3.19</v>
      </c>
    </row>
    <row r="3" spans="1:5" x14ac:dyDescent="0.3">
      <c r="A3" s="1" t="s">
        <v>8</v>
      </c>
      <c r="B3" s="1" t="s">
        <v>9</v>
      </c>
      <c r="C3" s="1" t="s">
        <v>10</v>
      </c>
      <c r="D3" s="2">
        <v>-27</v>
      </c>
    </row>
    <row r="4" spans="1:5" x14ac:dyDescent="0.3">
      <c r="A4" s="1" t="s">
        <v>11</v>
      </c>
      <c r="B4" s="1" t="s">
        <v>12</v>
      </c>
      <c r="C4" s="1" t="s">
        <v>13</v>
      </c>
      <c r="D4" s="2">
        <v>9.49</v>
      </c>
      <c r="E4" s="2">
        <f>SUM(D2:D4)</f>
        <v>-14.319999999999999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tabSelected="1" workbookViewId="0">
      <pane xSplit="2" ySplit="1" topLeftCell="C19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defaultRowHeight="14" x14ac:dyDescent="0.3"/>
  <cols>
    <col min="1" max="1" width="12" style="1" customWidth="1"/>
    <col min="2" max="2" width="34.81640625" style="1" bestFit="1" customWidth="1"/>
    <col min="3" max="3" width="14.26953125" style="5" bestFit="1" customWidth="1"/>
    <col min="4" max="4" width="11.90625" style="5" customWidth="1"/>
    <col min="5" max="5" width="10.7265625" style="5" bestFit="1" customWidth="1"/>
    <col min="6" max="6" width="8.7265625" style="5"/>
    <col min="7" max="16384" width="8.7265625" style="1"/>
  </cols>
  <sheetData>
    <row r="1" spans="1:6" s="6" customFormat="1" ht="42" x14ac:dyDescent="0.35">
      <c r="A1" s="6" t="s">
        <v>2</v>
      </c>
      <c r="B1" s="6" t="s">
        <v>3</v>
      </c>
      <c r="C1" s="7" t="s">
        <v>4</v>
      </c>
      <c r="D1" s="7"/>
      <c r="E1" s="7"/>
      <c r="F1" s="7"/>
    </row>
    <row r="2" spans="1:6" x14ac:dyDescent="0.3">
      <c r="A2" s="1" t="s">
        <v>62</v>
      </c>
      <c r="B2" s="1" t="s">
        <v>16</v>
      </c>
      <c r="C2" s="5">
        <v>85113</v>
      </c>
    </row>
    <row r="3" spans="1:6" x14ac:dyDescent="0.3">
      <c r="A3" s="1" t="s">
        <v>0</v>
      </c>
      <c r="B3" s="1" t="s">
        <v>61</v>
      </c>
      <c r="C3" s="5">
        <v>150000</v>
      </c>
    </row>
    <row r="4" spans="1:6" x14ac:dyDescent="0.3">
      <c r="A4" s="1" t="s">
        <v>60</v>
      </c>
      <c r="B4" s="1" t="s">
        <v>34</v>
      </c>
      <c r="C4" s="5">
        <v>74400</v>
      </c>
    </row>
    <row r="5" spans="1:6" x14ac:dyDescent="0.3">
      <c r="A5" s="1" t="s">
        <v>60</v>
      </c>
      <c r="B5" s="1" t="s">
        <v>16</v>
      </c>
      <c r="C5" s="5">
        <v>85113</v>
      </c>
    </row>
    <row r="6" spans="1:6" x14ac:dyDescent="0.3">
      <c r="A6" s="1" t="s">
        <v>59</v>
      </c>
      <c r="B6" s="1" t="s">
        <v>27</v>
      </c>
      <c r="C6" s="5">
        <v>42320</v>
      </c>
    </row>
    <row r="7" spans="1:6" x14ac:dyDescent="0.3">
      <c r="A7" s="1" t="s">
        <v>57</v>
      </c>
      <c r="B7" s="1" t="s">
        <v>58</v>
      </c>
      <c r="C7" s="5">
        <v>4000000</v>
      </c>
    </row>
    <row r="8" spans="1:6" x14ac:dyDescent="0.3">
      <c r="A8" s="1" t="s">
        <v>56</v>
      </c>
      <c r="B8" s="1" t="s">
        <v>16</v>
      </c>
      <c r="C8" s="5">
        <v>502616</v>
      </c>
    </row>
    <row r="9" spans="1:6" x14ac:dyDescent="0.3">
      <c r="A9" s="1" t="s">
        <v>54</v>
      </c>
      <c r="B9" s="1" t="s">
        <v>55</v>
      </c>
      <c r="C9" s="5">
        <v>38900</v>
      </c>
    </row>
    <row r="10" spans="1:6" x14ac:dyDescent="0.3">
      <c r="A10" s="1" t="s">
        <v>54</v>
      </c>
      <c r="B10" s="1" t="s">
        <v>16</v>
      </c>
      <c r="C10" s="5">
        <v>402093</v>
      </c>
    </row>
    <row r="11" spans="1:6" x14ac:dyDescent="0.3">
      <c r="A11" s="1" t="s">
        <v>54</v>
      </c>
      <c r="B11" s="1" t="s">
        <v>16</v>
      </c>
      <c r="C11" s="5">
        <v>804185</v>
      </c>
    </row>
    <row r="12" spans="1:6" x14ac:dyDescent="0.3">
      <c r="A12" s="1" t="s">
        <v>51</v>
      </c>
      <c r="B12" s="1" t="s">
        <v>52</v>
      </c>
      <c r="C12" s="5">
        <v>71060</v>
      </c>
    </row>
    <row r="13" spans="1:6" x14ac:dyDescent="0.3">
      <c r="A13" s="1" t="s">
        <v>51</v>
      </c>
      <c r="B13" s="1" t="s">
        <v>53</v>
      </c>
      <c r="C13" s="5">
        <v>21090</v>
      </c>
    </row>
    <row r="14" spans="1:6" x14ac:dyDescent="0.3">
      <c r="A14" s="1" t="s">
        <v>49</v>
      </c>
      <c r="B14" s="1" t="s">
        <v>50</v>
      </c>
      <c r="C14" s="5">
        <v>203544</v>
      </c>
    </row>
    <row r="15" spans="1:6" x14ac:dyDescent="0.3">
      <c r="A15" s="1" t="s">
        <v>48</v>
      </c>
      <c r="B15" s="1" t="s">
        <v>34</v>
      </c>
      <c r="C15" s="5">
        <v>84900</v>
      </c>
    </row>
    <row r="16" spans="1:6" x14ac:dyDescent="0.3">
      <c r="A16" s="1" t="s">
        <v>47</v>
      </c>
      <c r="B16" s="1" t="s">
        <v>36</v>
      </c>
      <c r="C16" s="5">
        <v>21500</v>
      </c>
    </row>
    <row r="17" spans="1:4" x14ac:dyDescent="0.3">
      <c r="A17" s="1" t="s">
        <v>44</v>
      </c>
      <c r="B17" s="1" t="s">
        <v>27</v>
      </c>
      <c r="C17" s="5">
        <v>192438</v>
      </c>
    </row>
    <row r="18" spans="1:4" x14ac:dyDescent="0.3">
      <c r="A18" s="1" t="s">
        <v>44</v>
      </c>
      <c r="B18" s="1" t="s">
        <v>45</v>
      </c>
      <c r="C18" s="5">
        <v>233800</v>
      </c>
    </row>
    <row r="19" spans="1:4" x14ac:dyDescent="0.3">
      <c r="A19" s="1" t="s">
        <v>44</v>
      </c>
      <c r="B19" s="1" t="s">
        <v>46</v>
      </c>
      <c r="C19" s="5">
        <v>630675</v>
      </c>
    </row>
    <row r="20" spans="1:4" x14ac:dyDescent="0.3">
      <c r="A20" s="1" t="s">
        <v>42</v>
      </c>
      <c r="B20" s="1" t="s">
        <v>32</v>
      </c>
      <c r="C20" s="5">
        <v>103479</v>
      </c>
    </row>
    <row r="21" spans="1:4" x14ac:dyDescent="0.3">
      <c r="A21" s="1" t="s">
        <v>42</v>
      </c>
      <c r="B21" s="1" t="s">
        <v>43</v>
      </c>
      <c r="C21" s="5">
        <v>55504</v>
      </c>
    </row>
    <row r="22" spans="1:4" x14ac:dyDescent="0.3">
      <c r="A22" s="1" t="s">
        <v>42</v>
      </c>
      <c r="B22" s="1" t="s">
        <v>16</v>
      </c>
      <c r="C22" s="5">
        <v>211376</v>
      </c>
    </row>
    <row r="23" spans="1:4" x14ac:dyDescent="0.3">
      <c r="A23" s="1" t="s">
        <v>42</v>
      </c>
      <c r="B23" s="1" t="s">
        <v>16</v>
      </c>
      <c r="C23" s="5">
        <v>208530</v>
      </c>
    </row>
    <row r="24" spans="1:4" x14ac:dyDescent="0.3">
      <c r="A24" s="1" t="s">
        <v>42</v>
      </c>
      <c r="B24" s="1" t="s">
        <v>16</v>
      </c>
      <c r="C24" s="5">
        <v>169898</v>
      </c>
    </row>
    <row r="25" spans="1:4" x14ac:dyDescent="0.3">
      <c r="A25" s="1" t="s">
        <v>12</v>
      </c>
      <c r="B25" s="1" t="s">
        <v>32</v>
      </c>
      <c r="C25" s="5">
        <v>68360</v>
      </c>
      <c r="D25" s="5">
        <f>SUM($C$2:C25)</f>
        <v>8460894</v>
      </c>
    </row>
    <row r="26" spans="1:4" x14ac:dyDescent="0.3">
      <c r="A26" s="1" t="s">
        <v>12</v>
      </c>
      <c r="B26" s="1" t="s">
        <v>18</v>
      </c>
      <c r="C26" s="5">
        <v>13000</v>
      </c>
    </row>
    <row r="27" spans="1:4" x14ac:dyDescent="0.3">
      <c r="A27" s="1" t="s">
        <v>12</v>
      </c>
      <c r="B27" s="1" t="s">
        <v>16</v>
      </c>
      <c r="C27" s="5">
        <v>208530</v>
      </c>
    </row>
    <row r="28" spans="1:4" x14ac:dyDescent="0.3">
      <c r="A28" s="1" t="s">
        <v>9</v>
      </c>
      <c r="B28" s="1" t="s">
        <v>10</v>
      </c>
      <c r="C28" s="5">
        <v>-19758144</v>
      </c>
    </row>
    <row r="29" spans="1:4" x14ac:dyDescent="0.3">
      <c r="A29" s="1" t="s">
        <v>9</v>
      </c>
      <c r="B29" s="1" t="s">
        <v>41</v>
      </c>
      <c r="C29" s="5">
        <v>10000</v>
      </c>
    </row>
    <row r="30" spans="1:4" x14ac:dyDescent="0.3">
      <c r="A30" s="1" t="s">
        <v>39</v>
      </c>
      <c r="B30" s="1" t="s">
        <v>40</v>
      </c>
      <c r="C30" s="5">
        <v>759251</v>
      </c>
    </row>
    <row r="31" spans="1:4" x14ac:dyDescent="0.3">
      <c r="A31" s="1" t="s">
        <v>39</v>
      </c>
      <c r="B31" s="1" t="s">
        <v>40</v>
      </c>
      <c r="C31" s="5">
        <v>2274922</v>
      </c>
    </row>
    <row r="32" spans="1:4" x14ac:dyDescent="0.3">
      <c r="A32" s="1" t="s">
        <v>38</v>
      </c>
      <c r="B32" s="1" t="s">
        <v>30</v>
      </c>
      <c r="C32" s="5">
        <v>1098586</v>
      </c>
    </row>
    <row r="33" spans="1:4" x14ac:dyDescent="0.3">
      <c r="A33" s="1" t="s">
        <v>35</v>
      </c>
      <c r="B33" s="1" t="s">
        <v>16</v>
      </c>
      <c r="C33" s="5">
        <v>37910</v>
      </c>
    </row>
    <row r="34" spans="1:4" x14ac:dyDescent="0.3">
      <c r="A34" s="1" t="s">
        <v>35</v>
      </c>
      <c r="B34" s="1" t="s">
        <v>36</v>
      </c>
      <c r="C34" s="5">
        <v>58500</v>
      </c>
    </row>
    <row r="35" spans="1:4" x14ac:dyDescent="0.3">
      <c r="A35" s="1" t="s">
        <v>35</v>
      </c>
      <c r="B35" s="1" t="s">
        <v>36</v>
      </c>
      <c r="C35" s="5">
        <v>331000</v>
      </c>
    </row>
    <row r="36" spans="1:4" x14ac:dyDescent="0.3">
      <c r="A36" s="1" t="s">
        <v>35</v>
      </c>
      <c r="B36" s="1" t="s">
        <v>36</v>
      </c>
      <c r="C36" s="5">
        <v>662000</v>
      </c>
    </row>
    <row r="37" spans="1:4" x14ac:dyDescent="0.3">
      <c r="A37" s="1" t="s">
        <v>35</v>
      </c>
      <c r="B37" s="1" t="s">
        <v>37</v>
      </c>
      <c r="C37" s="5">
        <v>212080</v>
      </c>
    </row>
    <row r="38" spans="1:4" x14ac:dyDescent="0.3">
      <c r="A38" s="1" t="s">
        <v>33</v>
      </c>
      <c r="B38" s="1" t="s">
        <v>17</v>
      </c>
      <c r="C38" s="5">
        <v>630000</v>
      </c>
    </row>
    <row r="39" spans="1:4" x14ac:dyDescent="0.3">
      <c r="A39" s="1" t="s">
        <v>33</v>
      </c>
      <c r="B39" s="1" t="s">
        <v>34</v>
      </c>
      <c r="C39" s="5">
        <v>76800</v>
      </c>
      <c r="D39" s="5">
        <f>SUM($C$2:C39)</f>
        <v>-4924671</v>
      </c>
    </row>
    <row r="40" spans="1:4" x14ac:dyDescent="0.3">
      <c r="A40" s="1" t="s">
        <v>31</v>
      </c>
      <c r="B40" s="1" t="s">
        <v>32</v>
      </c>
      <c r="C40" s="5">
        <v>491895</v>
      </c>
    </row>
    <row r="41" spans="1:4" x14ac:dyDescent="0.3">
      <c r="A41" s="1" t="s">
        <v>31</v>
      </c>
      <c r="B41" s="1" t="s">
        <v>18</v>
      </c>
      <c r="C41" s="5">
        <v>158500</v>
      </c>
    </row>
    <row r="42" spans="1:4" x14ac:dyDescent="0.3">
      <c r="A42" s="1" t="s">
        <v>31</v>
      </c>
      <c r="B42" s="1" t="s">
        <v>16</v>
      </c>
      <c r="C42" s="5">
        <v>161944</v>
      </c>
    </row>
    <row r="43" spans="1:4" x14ac:dyDescent="0.3">
      <c r="A43" s="1" t="s">
        <v>29</v>
      </c>
      <c r="B43" s="1" t="s">
        <v>30</v>
      </c>
      <c r="C43" s="5">
        <v>630622</v>
      </c>
    </row>
    <row r="44" spans="1:4" x14ac:dyDescent="0.3">
      <c r="A44" s="1" t="s">
        <v>29</v>
      </c>
      <c r="B44" s="1" t="s">
        <v>16</v>
      </c>
      <c r="C44" s="5">
        <v>36765</v>
      </c>
    </row>
    <row r="45" spans="1:4" x14ac:dyDescent="0.3">
      <c r="A45" s="1" t="s">
        <v>25</v>
      </c>
      <c r="B45" s="1" t="s">
        <v>26</v>
      </c>
      <c r="C45" s="5">
        <v>100000</v>
      </c>
    </row>
    <row r="46" spans="1:4" x14ac:dyDescent="0.3">
      <c r="A46" s="1" t="s">
        <v>25</v>
      </c>
      <c r="B46" s="1" t="s">
        <v>27</v>
      </c>
      <c r="C46" s="5">
        <v>96828</v>
      </c>
    </row>
    <row r="47" spans="1:4" x14ac:dyDescent="0.3">
      <c r="A47" s="1" t="s">
        <v>25</v>
      </c>
      <c r="B47" s="1" t="s">
        <v>16</v>
      </c>
      <c r="C47" s="5">
        <v>276532</v>
      </c>
    </row>
    <row r="48" spans="1:4" x14ac:dyDescent="0.3">
      <c r="A48" s="1" t="s">
        <v>25</v>
      </c>
      <c r="B48" s="1" t="s">
        <v>28</v>
      </c>
      <c r="C48" s="5">
        <v>1357304</v>
      </c>
      <c r="D48" s="5">
        <f>SUM($C$2:C48)</f>
        <v>-1614281</v>
      </c>
    </row>
    <row r="49" spans="1:5" x14ac:dyDescent="0.3">
      <c r="A49" s="1" t="s">
        <v>23</v>
      </c>
      <c r="B49" s="1" t="s">
        <v>24</v>
      </c>
      <c r="C49" s="5">
        <v>38610</v>
      </c>
    </row>
    <row r="50" spans="1:5" x14ac:dyDescent="0.3">
      <c r="A50" s="1" t="s">
        <v>21</v>
      </c>
      <c r="B50" s="1" t="s">
        <v>22</v>
      </c>
      <c r="C50" s="5">
        <v>1610250</v>
      </c>
    </row>
    <row r="51" spans="1:5" x14ac:dyDescent="0.3">
      <c r="A51" s="1" t="s">
        <v>21</v>
      </c>
      <c r="B51" s="1" t="s">
        <v>16</v>
      </c>
      <c r="C51" s="5">
        <v>275999</v>
      </c>
    </row>
    <row r="52" spans="1:5" x14ac:dyDescent="0.3">
      <c r="A52" s="1" t="s">
        <v>20</v>
      </c>
      <c r="B52" s="1" t="s">
        <v>17</v>
      </c>
      <c r="C52" s="5">
        <v>227800</v>
      </c>
    </row>
    <row r="53" spans="1:5" x14ac:dyDescent="0.3">
      <c r="A53" s="1" t="s">
        <v>20</v>
      </c>
      <c r="B53" s="1" t="s">
        <v>18</v>
      </c>
      <c r="C53" s="5">
        <v>20000</v>
      </c>
    </row>
    <row r="54" spans="1:5" x14ac:dyDescent="0.3">
      <c r="A54" s="1" t="s">
        <v>20</v>
      </c>
      <c r="B54" s="1" t="s">
        <v>16</v>
      </c>
      <c r="C54" s="5">
        <v>197048</v>
      </c>
    </row>
    <row r="55" spans="1:5" x14ac:dyDescent="0.3">
      <c r="A55" s="1" t="s">
        <v>6</v>
      </c>
      <c r="B55" s="1" t="s">
        <v>17</v>
      </c>
      <c r="C55" s="5">
        <v>89800</v>
      </c>
    </row>
    <row r="56" spans="1:5" x14ac:dyDescent="0.3">
      <c r="A56" s="1" t="s">
        <v>6</v>
      </c>
      <c r="B56" s="1" t="s">
        <v>18</v>
      </c>
      <c r="C56" s="5">
        <v>38000</v>
      </c>
    </row>
    <row r="57" spans="1:5" x14ac:dyDescent="0.3">
      <c r="A57" s="1" t="s">
        <v>6</v>
      </c>
      <c r="B57" s="1" t="s">
        <v>19</v>
      </c>
      <c r="C57" s="5">
        <v>370356</v>
      </c>
    </row>
    <row r="58" spans="1:5" x14ac:dyDescent="0.3">
      <c r="A58" s="1" t="s">
        <v>6</v>
      </c>
      <c r="B58" s="1" t="s">
        <v>19</v>
      </c>
      <c r="C58" s="5">
        <v>120723</v>
      </c>
    </row>
    <row r="59" spans="1:5" x14ac:dyDescent="0.3">
      <c r="A59" s="1" t="s">
        <v>14</v>
      </c>
      <c r="B59" s="1" t="s">
        <v>15</v>
      </c>
      <c r="C59" s="5">
        <v>224900</v>
      </c>
    </row>
    <row r="60" spans="1:5" x14ac:dyDescent="0.3">
      <c r="A60" s="1" t="s">
        <v>14</v>
      </c>
      <c r="B60" s="1" t="s">
        <v>16</v>
      </c>
      <c r="C60" s="5">
        <v>201449</v>
      </c>
      <c r="D60" s="5">
        <f>SUM($C$2:C60)</f>
        <v>1800654</v>
      </c>
      <c r="E60" s="5">
        <v>-1798652</v>
      </c>
    </row>
    <row r="61" spans="1:5" x14ac:dyDescent="0.3">
      <c r="E61" s="5">
        <f>+D60+E60</f>
        <v>2002</v>
      </c>
    </row>
  </sheetData>
  <sortState xmlns:xlrd2="http://schemas.microsoft.com/office/spreadsheetml/2017/richdata2" ref="A4:C60">
    <sortCondition ref="A4:A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DOLARES</vt:lpstr>
      <vt:lpstr>PESOS</vt:lpstr>
    </vt:vector>
  </TitlesOfParts>
  <Company>Paradigma S.A.S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Archivo Excel</dc:title>
  <dc:subject>ParadocCommonDocument.Excel</dc:subject>
  <dc:creator>ParadocXlsBuiderV2</dc:creator>
  <cp:lastModifiedBy>Sergio Lalinde</cp:lastModifiedBy>
  <dcterms:created xsi:type="dcterms:W3CDTF">2024-08-05T12:32:45Z</dcterms:created>
  <dcterms:modified xsi:type="dcterms:W3CDTF">2024-08-06T19:51:00Z</dcterms:modified>
</cp:coreProperties>
</file>