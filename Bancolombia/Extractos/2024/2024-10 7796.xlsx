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26" documentId="11_BEFE94613DAEEFAB5E8209C59206080627EBC81F" xr6:coauthVersionLast="47" xr6:coauthVersionMax="47" xr10:uidLastSave="{E0B8924E-21AC-410E-A2C1-DD6E4D70F5F3}"/>
  <bookViews>
    <workbookView xWindow="23550" yWindow="480" windowWidth="12480" windowHeight="20510" activeTab="1" xr2:uid="{00000000-000D-0000-FFFF-FFFF00000000}"/>
  </bookViews>
  <sheets>
    <sheet name="DOLARES" sheetId="1" r:id="rId1"/>
    <sheet name="PES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E37" i="2"/>
  <c r="E54" i="2"/>
  <c r="E4" i="1"/>
</calcChain>
</file>

<file path=xl/sharedStrings.xml><?xml version="1.0" encoding="utf-8"?>
<sst xmlns="http://schemas.openxmlformats.org/spreadsheetml/2006/main" count="176" uniqueCount="118">
  <si>
    <t/>
  </si>
  <si>
    <t>30/10/2024</t>
  </si>
  <si>
    <t>Número de Autorización</t>
  </si>
  <si>
    <t>Fecha de Transacción</t>
  </si>
  <si>
    <t>Descripción</t>
  </si>
  <si>
    <t>Valor Original</t>
  </si>
  <si>
    <t>T08705</t>
  </si>
  <si>
    <t>27/10/2024</t>
  </si>
  <si>
    <t>APPLE.COM/BILL</t>
  </si>
  <si>
    <t>C07675</t>
  </si>
  <si>
    <t>16/10/2024</t>
  </si>
  <si>
    <t>ABONO SUCURSAL VIRTUAL</t>
  </si>
  <si>
    <t>R05934</t>
  </si>
  <si>
    <t>13/10/2024</t>
  </si>
  <si>
    <t>DIGITAL RIVER IRELAND</t>
  </si>
  <si>
    <t>INTERESES CORRIENTES</t>
  </si>
  <si>
    <t>R01718</t>
  </si>
  <si>
    <t>29/10/2024</t>
  </si>
  <si>
    <t>AMAZON.COM</t>
  </si>
  <si>
    <t>R02161</t>
  </si>
  <si>
    <t>28/10/2024</t>
  </si>
  <si>
    <t>EXITO LA CEJA</t>
  </si>
  <si>
    <t>R07452</t>
  </si>
  <si>
    <t>R08197</t>
  </si>
  <si>
    <t>R05324</t>
  </si>
  <si>
    <t>DOLLARCITY VIVA LA CEJ</t>
  </si>
  <si>
    <t>T01291</t>
  </si>
  <si>
    <t>26/10/2024</t>
  </si>
  <si>
    <t>RECARGA AUTOMATICA FLYPASS</t>
  </si>
  <si>
    <t>R2309Z</t>
  </si>
  <si>
    <t>24/10/2024</t>
  </si>
  <si>
    <t>TIGO SERVICIOS HOGAR Y</t>
  </si>
  <si>
    <t>R01368</t>
  </si>
  <si>
    <t>AGROFERTIL COLOMBIA</t>
  </si>
  <si>
    <t>R06391</t>
  </si>
  <si>
    <t>DROGUERIA PASTEUR TERP</t>
  </si>
  <si>
    <t>R03547</t>
  </si>
  <si>
    <t>VIVERO EL BUEN SEMBRAD</t>
  </si>
  <si>
    <t>R01224</t>
  </si>
  <si>
    <t>23/10/2024</t>
  </si>
  <si>
    <t>PRICESMART</t>
  </si>
  <si>
    <t>R04775</t>
  </si>
  <si>
    <t>UROGINE</t>
  </si>
  <si>
    <t>T03416</t>
  </si>
  <si>
    <t>22/10/2024</t>
  </si>
  <si>
    <t>DLO*GOOGLE YouTubePrem</t>
  </si>
  <si>
    <t>R1120Z</t>
  </si>
  <si>
    <t>21/10/2024</t>
  </si>
  <si>
    <t>EPM SERVICIOS PUBLICOS</t>
  </si>
  <si>
    <t>R01055</t>
  </si>
  <si>
    <t>R00943</t>
  </si>
  <si>
    <t>MERCOLANTA MONTE MADER</t>
  </si>
  <si>
    <t>R01262</t>
  </si>
  <si>
    <t>20/10/2024</t>
  </si>
  <si>
    <t>R08208</t>
  </si>
  <si>
    <t>R09479</t>
  </si>
  <si>
    <t>R01470</t>
  </si>
  <si>
    <t>TIENDA D1 LA CEJA SAN</t>
  </si>
  <si>
    <t>R9197Z</t>
  </si>
  <si>
    <t>R2331Z</t>
  </si>
  <si>
    <t>18/10/2024</t>
  </si>
  <si>
    <t>R07112</t>
  </si>
  <si>
    <t>ALLIANZ SEGUROS</t>
  </si>
  <si>
    <t>C03604</t>
  </si>
  <si>
    <t>17/10/2024</t>
  </si>
  <si>
    <t>C08619</t>
  </si>
  <si>
    <t>C02421</t>
  </si>
  <si>
    <t>R08223</t>
  </si>
  <si>
    <t>SURAMERICANA SEGUROS D</t>
  </si>
  <si>
    <t>R08249</t>
  </si>
  <si>
    <t>R01343</t>
  </si>
  <si>
    <t>R5675Z</t>
  </si>
  <si>
    <t>15/10/2024</t>
  </si>
  <si>
    <t>CORPAUL</t>
  </si>
  <si>
    <t>F09514</t>
  </si>
  <si>
    <t>BOLD*Si tu Boquita Fue</t>
  </si>
  <si>
    <t>R07689</t>
  </si>
  <si>
    <t>R01194</t>
  </si>
  <si>
    <t>14/10/2024</t>
  </si>
  <si>
    <t>DOMICELUWEB</t>
  </si>
  <si>
    <t>O08190</t>
  </si>
  <si>
    <t>CLINICA SAN JUAN DE DI</t>
  </si>
  <si>
    <t>R01489</t>
  </si>
  <si>
    <t>12/10/2024</t>
  </si>
  <si>
    <t>R06128</t>
  </si>
  <si>
    <t>R07249</t>
  </si>
  <si>
    <t>O04127</t>
  </si>
  <si>
    <t>R4794Z</t>
  </si>
  <si>
    <t>11/10/2024</t>
  </si>
  <si>
    <t>R00036</t>
  </si>
  <si>
    <t>TIENDA D1 CEJ LA CEJA</t>
  </si>
  <si>
    <t>T05260</t>
  </si>
  <si>
    <t>09/10/2024</t>
  </si>
  <si>
    <t>PPRO*MICROSOFT</t>
  </si>
  <si>
    <t>T08809</t>
  </si>
  <si>
    <t>08/10/2024</t>
  </si>
  <si>
    <t>R03266</t>
  </si>
  <si>
    <t>06/10/2024</t>
  </si>
  <si>
    <t>PAYU*NETFLIX</t>
  </si>
  <si>
    <t>R05159</t>
  </si>
  <si>
    <t>TIENDA D1 CANTARRANA</t>
  </si>
  <si>
    <t>R00228</t>
  </si>
  <si>
    <t>05/10/2024</t>
  </si>
  <si>
    <t>INVERSIONES SIERRA MOL</t>
  </si>
  <si>
    <t>R05936</t>
  </si>
  <si>
    <t>EURO JARDINES DE LLANO</t>
  </si>
  <si>
    <t>F04632</t>
  </si>
  <si>
    <t>CREPES Y WAFFLES LLANO</t>
  </si>
  <si>
    <t>R04956</t>
  </si>
  <si>
    <t>R08573</t>
  </si>
  <si>
    <t>04/10/2024</t>
  </si>
  <si>
    <t>ALMACEN Y TALLER ZONA</t>
  </si>
  <si>
    <t>R2381Z</t>
  </si>
  <si>
    <t>03/10/2024</t>
  </si>
  <si>
    <t>R07124</t>
  </si>
  <si>
    <t>EDS EL ENCIERRO CEJA F</t>
  </si>
  <si>
    <t>R04466</t>
  </si>
  <si>
    <t>01/10/2024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</si>
</sst>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_ ;[Red]\-#,##0.00\ "/>
    <numFmt numFmtId="166" formatCode="#,##0_ ;[Red]\-#,##0\ "/>
  </numFmts>
  <fonts count="233" x14ac:knownFonts="1">
    <font>
      <sz val="11"/>
      <name val="Calibri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165" fontId="4" fillId="0" borderId="0" xfId="0" applyNumberFormat="1" applyFont="1"/>
    <xf numFmtId="165" fontId="8" fillId="0" borderId="0" xfId="0" applyNumberFormat="1" applyFont="1"/>
    <xf numFmtId="165" fontId="12" fillId="0" borderId="0" xfId="0" applyNumberFormat="1" applyFont="1"/>
    <xf numFmtId="165" fontId="16" fillId="0" borderId="0" xfId="0" applyNumberFormat="1" applyFont="1"/>
    <xf numFmtId="165" fontId="0" fillId="0" borderId="0" xfId="0" applyNumberFormat="1"/>
    <xf numFmtId="166" fontId="24" fillId="0" borderId="0" xfId="0" applyNumberFormat="1" applyFont="1"/>
    <xf numFmtId="166" fontId="28" fillId="0" borderId="0" xfId="0" applyNumberFormat="1" applyFont="1"/>
    <xf numFmtId="166" fontId="32" fillId="0" borderId="0" xfId="0" applyNumberFormat="1" applyFont="1"/>
    <xf numFmtId="166" fontId="36" fillId="0" borderId="0" xfId="0" applyNumberFormat="1" applyFont="1"/>
    <xf numFmtId="166" fontId="40" fillId="0" borderId="0" xfId="0" applyNumberFormat="1" applyFont="1"/>
    <xf numFmtId="166" fontId="44" fillId="0" borderId="0" xfId="0" applyNumberFormat="1" applyFont="1"/>
    <xf numFmtId="166" fontId="48" fillId="0" borderId="0" xfId="0" applyNumberFormat="1" applyFont="1"/>
    <xf numFmtId="166" fontId="52" fillId="0" borderId="0" xfId="0" applyNumberFormat="1" applyFont="1"/>
    <xf numFmtId="166" fontId="56" fillId="0" borderId="0" xfId="0" applyNumberFormat="1" applyFont="1"/>
    <xf numFmtId="166" fontId="60" fillId="0" borderId="0" xfId="0" applyNumberFormat="1" applyFont="1"/>
    <xf numFmtId="166" fontId="64" fillId="0" borderId="0" xfId="0" applyNumberFormat="1" applyFont="1"/>
    <xf numFmtId="166" fontId="68" fillId="0" borderId="0" xfId="0" applyNumberFormat="1" applyFont="1"/>
    <xf numFmtId="166" fontId="72" fillId="0" borderId="0" xfId="0" applyNumberFormat="1" applyFont="1"/>
    <xf numFmtId="166" fontId="76" fillId="0" borderId="0" xfId="0" applyNumberFormat="1" applyFont="1"/>
    <xf numFmtId="166" fontId="80" fillId="0" borderId="0" xfId="0" applyNumberFormat="1" applyFont="1"/>
    <xf numFmtId="166" fontId="84" fillId="0" borderId="0" xfId="0" applyNumberFormat="1" applyFont="1"/>
    <xf numFmtId="166" fontId="88" fillId="0" borderId="0" xfId="0" applyNumberFormat="1" applyFont="1"/>
    <xf numFmtId="166" fontId="92" fillId="0" borderId="0" xfId="0" applyNumberFormat="1" applyFont="1"/>
    <xf numFmtId="166" fontId="96" fillId="0" borderId="0" xfId="0" applyNumberFormat="1" applyFont="1"/>
    <xf numFmtId="166" fontId="100" fillId="0" borderId="0" xfId="0" applyNumberFormat="1" applyFont="1"/>
    <xf numFmtId="166" fontId="104" fillId="0" borderId="0" xfId="0" applyNumberFormat="1" applyFont="1"/>
    <xf numFmtId="166" fontId="108" fillId="0" borderId="0" xfId="0" applyNumberFormat="1" applyFont="1"/>
    <xf numFmtId="166" fontId="112" fillId="0" borderId="0" xfId="0" applyNumberFormat="1" applyFont="1"/>
    <xf numFmtId="166" fontId="116" fillId="0" borderId="0" xfId="0" applyNumberFormat="1" applyFont="1"/>
    <xf numFmtId="166" fontId="120" fillId="0" borderId="0" xfId="0" applyNumberFormat="1" applyFont="1"/>
    <xf numFmtId="166" fontId="124" fillId="0" borderId="0" xfId="0" applyNumberFormat="1" applyFont="1"/>
    <xf numFmtId="166" fontId="128" fillId="0" borderId="0" xfId="0" applyNumberFormat="1" applyFont="1"/>
    <xf numFmtId="166" fontId="132" fillId="0" borderId="0" xfId="0" applyNumberFormat="1" applyFont="1"/>
    <xf numFmtId="166" fontId="136" fillId="0" borderId="0" xfId="0" applyNumberFormat="1" applyFont="1"/>
    <xf numFmtId="166" fontId="140" fillId="0" borderId="0" xfId="0" applyNumberFormat="1" applyFont="1"/>
    <xf numFmtId="166" fontId="144" fillId="0" borderId="0" xfId="0" applyNumberFormat="1" applyFont="1"/>
    <xf numFmtId="166" fontId="148" fillId="0" borderId="0" xfId="0" applyNumberFormat="1" applyFont="1"/>
    <xf numFmtId="166" fontId="152" fillId="0" borderId="0" xfId="0" applyNumberFormat="1" applyFont="1"/>
    <xf numFmtId="166" fontId="156" fillId="0" borderId="0" xfId="0" applyNumberFormat="1" applyFont="1"/>
    <xf numFmtId="166" fontId="160" fillId="0" borderId="0" xfId="0" applyNumberFormat="1" applyFont="1"/>
    <xf numFmtId="166" fontId="164" fillId="0" borderId="0" xfId="0" applyNumberFormat="1" applyFont="1"/>
    <xf numFmtId="166" fontId="168" fillId="0" borderId="0" xfId="0" applyNumberFormat="1" applyFont="1"/>
    <xf numFmtId="166" fontId="172" fillId="0" borderId="0" xfId="0" applyNumberFormat="1" applyFont="1"/>
    <xf numFmtId="166" fontId="176" fillId="0" borderId="0" xfId="0" applyNumberFormat="1" applyFont="1"/>
    <xf numFmtId="166" fontId="180" fillId="0" borderId="0" xfId="0" applyNumberFormat="1" applyFont="1"/>
    <xf numFmtId="166" fontId="184" fillId="0" borderId="0" xfId="0" applyNumberFormat="1" applyFont="1"/>
    <xf numFmtId="166" fontId="188" fillId="0" borderId="0" xfId="0" applyNumberFormat="1" applyFont="1"/>
    <xf numFmtId="166" fontId="192" fillId="0" borderId="0" xfId="0" applyNumberFormat="1" applyFont="1"/>
    <xf numFmtId="166" fontId="196" fillId="0" borderId="0" xfId="0" applyNumberFormat="1" applyFont="1"/>
    <xf numFmtId="166" fontId="200" fillId="0" borderId="0" xfId="0" applyNumberFormat="1" applyFont="1"/>
    <xf numFmtId="166" fontId="204" fillId="0" borderId="0" xfId="0" applyNumberFormat="1" applyFont="1"/>
    <xf numFmtId="166" fontId="208" fillId="0" borderId="0" xfId="0" applyNumberFormat="1" applyFont="1"/>
    <xf numFmtId="166" fontId="212" fillId="0" borderId="0" xfId="0" applyNumberFormat="1" applyFont="1"/>
    <xf numFmtId="166" fontId="216" fillId="0" borderId="0" xfId="0" applyNumberFormat="1" applyFont="1"/>
    <xf numFmtId="166" fontId="220" fillId="0" borderId="0" xfId="0" applyNumberFormat="1" applyFont="1"/>
    <xf numFmtId="166" fontId="224" fillId="0" borderId="0" xfId="0" applyNumberFormat="1" applyFont="1"/>
    <xf numFmtId="166" fontId="228" fillId="0" borderId="0" xfId="0" applyNumberFormat="1" applyFont="1"/>
    <xf numFmtId="166" fontId="232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activeCell="F4" sqref="F4"/>
    </sheetView>
  </sheetViews>
  <sheetFormatPr baseColWidth="10" defaultRowHeight="15.5" x14ac:dyDescent="0.35"/>
  <cols>
    <col min="1" max="1" width="12" customWidth="1"/>
    <col min="2" max="2" width="19.36328125" bestFit="1" customWidth="1"/>
    <col min="3" max="3" width="23.6328125" bestFit="1" customWidth="1"/>
    <col min="4" max="4" width="12" style="180" customWidth="1"/>
  </cols>
  <sheetData>
    <row r="1" spans="1:5" ht="14.5" x14ac:dyDescent="0.35">
      <c r="A1" s="1" t="s">
        <v>2</v>
      </c>
      <c r="B1" s="2" t="s">
        <v>3</v>
      </c>
      <c r="C1" s="3" t="s">
        <v>4</v>
      </c>
      <c r="D1" s="176" t="s">
        <v>5</v>
      </c>
    </row>
    <row r="2" spans="1:5" ht="14.5" x14ac:dyDescent="0.35">
      <c r="A2" s="4" t="s">
        <v>6</v>
      </c>
      <c r="B2" s="5" t="s">
        <v>7</v>
      </c>
      <c r="C2" s="6" t="s">
        <v>8</v>
      </c>
      <c r="D2" s="177">
        <v>2.99</v>
      </c>
    </row>
    <row r="3" spans="1:5" ht="14.5" x14ac:dyDescent="0.35">
      <c r="A3" s="7" t="s">
        <v>9</v>
      </c>
      <c r="B3" s="8" t="s">
        <v>10</v>
      </c>
      <c r="C3" s="9" t="s">
        <v>11</v>
      </c>
      <c r="D3" s="178">
        <v>-31</v>
      </c>
    </row>
    <row r="4" spans="1:5" ht="14.5" x14ac:dyDescent="0.35">
      <c r="A4" s="10" t="s">
        <v>12</v>
      </c>
      <c r="B4" s="11" t="s">
        <v>13</v>
      </c>
      <c r="C4" s="12" t="s">
        <v>14</v>
      </c>
      <c r="D4" s="179">
        <v>8.93</v>
      </c>
      <c r="E4" s="180">
        <f>SUM(D2:D4)</f>
        <v>-19.079999999999998</v>
      </c>
    </row>
    <row r="7" spans="1:5" ht="14.5" x14ac:dyDescent="0.35"/>
    <row r="8" spans="1:5" ht="14.5" x14ac:dyDescent="0.35"/>
    <row r="9" spans="1:5" ht="14.5" x14ac:dyDescent="0.35"/>
    <row r="11" spans="1:5" ht="14.5" x14ac:dyDescent="0.35"/>
    <row r="12" spans="1:5" ht="14.5" x14ac:dyDescent="0.35"/>
    <row r="14" spans="1:5" ht="14.5" x14ac:dyDescent="0.35"/>
    <row r="15" spans="1:5" ht="14.5" x14ac:dyDescent="0.35"/>
    <row r="16" spans="1:5" ht="14.5" x14ac:dyDescent="0.35"/>
    <row r="17" ht="14.5" x14ac:dyDescent="0.35"/>
    <row r="18" ht="14.5" x14ac:dyDescent="0.35"/>
    <row r="19" ht="14.5" x14ac:dyDescent="0.35"/>
    <row r="20" ht="14.5" x14ac:dyDescent="0.35"/>
    <row r="21" ht="14.5" x14ac:dyDescent="0.35"/>
    <row r="22" ht="14.5" x14ac:dyDescent="0.35"/>
    <row r="23" ht="14.5" x14ac:dyDescent="0.35"/>
    <row r="24" ht="14.5" x14ac:dyDescent="0.35"/>
    <row r="26" ht="14.5" x14ac:dyDescent="0.35"/>
    <row r="27" ht="14.5" x14ac:dyDescent="0.35"/>
    <row r="29" ht="14.5" x14ac:dyDescent="0.35"/>
    <row r="30" ht="14.5" x14ac:dyDescent="0.35"/>
    <row r="31" ht="14.5" x14ac:dyDescent="0.35"/>
    <row r="32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tabSelected="1" workbookViewId="0">
      <pane ySplit="1" topLeftCell="A2" activePane="bottomLeft" state="frozen"/>
      <selection pane="bottomLeft" activeCell="E13" sqref="E13"/>
    </sheetView>
  </sheetViews>
  <sheetFormatPr baseColWidth="10" defaultRowHeight="14.5" x14ac:dyDescent="0.35"/>
  <cols>
    <col min="1" max="2" width="12" customWidth="1"/>
    <col min="3" max="3" width="27.7265625" bestFit="1" customWidth="1"/>
    <col min="4" max="4" width="12" customWidth="1"/>
  </cols>
  <sheetData>
    <row r="1" spans="1:5" x14ac:dyDescent="0.35">
      <c r="A1" s="13" t="s">
        <v>2</v>
      </c>
      <c r="B1" s="14" t="s">
        <v>3</v>
      </c>
      <c r="C1" s="15" t="s">
        <v>4</v>
      </c>
      <c r="D1" s="16" t="s">
        <v>5</v>
      </c>
    </row>
    <row r="2" spans="1:5" x14ac:dyDescent="0.35">
      <c r="A2" s="173" t="s">
        <v>116</v>
      </c>
      <c r="B2" s="174" t="s">
        <v>117</v>
      </c>
      <c r="C2" s="175" t="s">
        <v>40</v>
      </c>
      <c r="D2" s="233">
        <v>212600</v>
      </c>
    </row>
    <row r="3" spans="1:5" x14ac:dyDescent="0.35">
      <c r="A3" s="167" t="s">
        <v>112</v>
      </c>
      <c r="B3" s="168" t="s">
        <v>113</v>
      </c>
      <c r="C3" s="169" t="s">
        <v>31</v>
      </c>
      <c r="D3" s="231">
        <v>42320</v>
      </c>
    </row>
    <row r="4" spans="1:5" x14ac:dyDescent="0.35">
      <c r="A4" s="170" t="s">
        <v>114</v>
      </c>
      <c r="B4" s="171" t="s">
        <v>113</v>
      </c>
      <c r="C4" s="172" t="s">
        <v>115</v>
      </c>
      <c r="D4" s="232">
        <v>23126</v>
      </c>
    </row>
    <row r="5" spans="1:5" x14ac:dyDescent="0.35">
      <c r="A5" s="164" t="s">
        <v>109</v>
      </c>
      <c r="B5" s="165" t="s">
        <v>110</v>
      </c>
      <c r="C5" s="166" t="s">
        <v>111</v>
      </c>
      <c r="D5" s="230">
        <v>810000</v>
      </c>
    </row>
    <row r="6" spans="1:5" x14ac:dyDescent="0.35">
      <c r="A6" s="152" t="s">
        <v>101</v>
      </c>
      <c r="B6" s="153" t="s">
        <v>102</v>
      </c>
      <c r="C6" s="154" t="s">
        <v>103</v>
      </c>
      <c r="D6" s="226">
        <v>198048</v>
      </c>
    </row>
    <row r="7" spans="1:5" x14ac:dyDescent="0.35">
      <c r="A7" s="155" t="s">
        <v>104</v>
      </c>
      <c r="B7" s="156" t="s">
        <v>102</v>
      </c>
      <c r="C7" s="157" t="s">
        <v>105</v>
      </c>
      <c r="D7" s="227">
        <v>40650</v>
      </c>
    </row>
    <row r="8" spans="1:5" x14ac:dyDescent="0.35">
      <c r="A8" s="158" t="s">
        <v>106</v>
      </c>
      <c r="B8" s="159" t="s">
        <v>102</v>
      </c>
      <c r="C8" s="160" t="s">
        <v>107</v>
      </c>
      <c r="D8" s="228">
        <v>75800</v>
      </c>
    </row>
    <row r="9" spans="1:5" x14ac:dyDescent="0.35">
      <c r="A9" s="161" t="s">
        <v>108</v>
      </c>
      <c r="B9" s="162" t="s">
        <v>102</v>
      </c>
      <c r="C9" s="163" t="s">
        <v>100</v>
      </c>
      <c r="D9" s="229">
        <v>65470</v>
      </c>
    </row>
    <row r="10" spans="1:5" x14ac:dyDescent="0.35">
      <c r="A10" s="146" t="s">
        <v>96</v>
      </c>
      <c r="B10" s="147" t="s">
        <v>97</v>
      </c>
      <c r="C10" s="148" t="s">
        <v>98</v>
      </c>
      <c r="D10" s="224">
        <v>38900</v>
      </c>
    </row>
    <row r="11" spans="1:5" x14ac:dyDescent="0.35">
      <c r="A11" s="149" t="s">
        <v>99</v>
      </c>
      <c r="B11" s="150" t="s">
        <v>97</v>
      </c>
      <c r="C11" s="151" t="s">
        <v>100</v>
      </c>
      <c r="D11" s="225">
        <v>14980</v>
      </c>
    </row>
    <row r="12" spans="1:5" x14ac:dyDescent="0.35">
      <c r="A12" s="143" t="s">
        <v>94</v>
      </c>
      <c r="B12" s="144" t="s">
        <v>95</v>
      </c>
      <c r="C12" s="145" t="s">
        <v>28</v>
      </c>
      <c r="D12" s="223">
        <v>100000</v>
      </c>
    </row>
    <row r="13" spans="1:5" x14ac:dyDescent="0.35">
      <c r="A13" s="140" t="s">
        <v>91</v>
      </c>
      <c r="B13" s="141" t="s">
        <v>92</v>
      </c>
      <c r="C13" s="142" t="s">
        <v>93</v>
      </c>
      <c r="D13" s="222">
        <v>349999</v>
      </c>
      <c r="E13" s="234">
        <f>SUM($D$2:D13)</f>
        <v>1971893</v>
      </c>
    </row>
    <row r="14" spans="1:5" x14ac:dyDescent="0.35">
      <c r="A14" s="134" t="s">
        <v>87</v>
      </c>
      <c r="B14" s="135" t="s">
        <v>88</v>
      </c>
      <c r="C14" s="136" t="s">
        <v>31</v>
      </c>
      <c r="D14" s="220">
        <v>188038</v>
      </c>
    </row>
    <row r="15" spans="1:5" x14ac:dyDescent="0.35">
      <c r="A15" s="137" t="s">
        <v>89</v>
      </c>
      <c r="B15" s="138" t="s">
        <v>88</v>
      </c>
      <c r="C15" s="139" t="s">
        <v>90</v>
      </c>
      <c r="D15" s="221">
        <v>292910</v>
      </c>
    </row>
    <row r="16" spans="1:5" x14ac:dyDescent="0.35">
      <c r="A16" s="122" t="s">
        <v>82</v>
      </c>
      <c r="B16" s="123" t="s">
        <v>83</v>
      </c>
      <c r="C16" s="124" t="s">
        <v>21</v>
      </c>
      <c r="D16" s="216">
        <v>37957</v>
      </c>
    </row>
    <row r="17" spans="1:4" x14ac:dyDescent="0.35">
      <c r="A17" s="125" t="s">
        <v>84</v>
      </c>
      <c r="B17" s="126" t="s">
        <v>83</v>
      </c>
      <c r="C17" s="127" t="s">
        <v>35</v>
      </c>
      <c r="D17" s="217">
        <v>36530</v>
      </c>
    </row>
    <row r="18" spans="1:4" x14ac:dyDescent="0.35">
      <c r="A18" s="128" t="s">
        <v>85</v>
      </c>
      <c r="B18" s="129" t="s">
        <v>83</v>
      </c>
      <c r="C18" s="130" t="s">
        <v>35</v>
      </c>
      <c r="D18" s="218">
        <v>64446</v>
      </c>
    </row>
    <row r="19" spans="1:4" x14ac:dyDescent="0.35">
      <c r="A19" s="131" t="s">
        <v>86</v>
      </c>
      <c r="B19" s="132" t="s">
        <v>83</v>
      </c>
      <c r="C19" s="133" t="s">
        <v>81</v>
      </c>
      <c r="D19" s="219">
        <v>73300</v>
      </c>
    </row>
    <row r="20" spans="1:4" x14ac:dyDescent="0.35">
      <c r="A20" s="119" t="s">
        <v>80</v>
      </c>
      <c r="B20" s="120" t="s">
        <v>13</v>
      </c>
      <c r="C20" s="121" t="s">
        <v>81</v>
      </c>
      <c r="D20" s="215">
        <v>75100</v>
      </c>
    </row>
    <row r="21" spans="1:4" x14ac:dyDescent="0.35">
      <c r="A21" s="116" t="s">
        <v>77</v>
      </c>
      <c r="B21" s="117" t="s">
        <v>78</v>
      </c>
      <c r="C21" s="118" t="s">
        <v>79</v>
      </c>
      <c r="D21" s="214">
        <v>54389</v>
      </c>
    </row>
    <row r="22" spans="1:4" x14ac:dyDescent="0.35">
      <c r="A22" s="107" t="s">
        <v>71</v>
      </c>
      <c r="B22" s="108" t="s">
        <v>72</v>
      </c>
      <c r="C22" s="109" t="s">
        <v>73</v>
      </c>
      <c r="D22" s="211">
        <v>10000</v>
      </c>
    </row>
    <row r="23" spans="1:4" x14ac:dyDescent="0.35">
      <c r="A23" s="110" t="s">
        <v>74</v>
      </c>
      <c r="B23" s="111" t="s">
        <v>72</v>
      </c>
      <c r="C23" s="112" t="s">
        <v>75</v>
      </c>
      <c r="D23" s="212">
        <v>24500</v>
      </c>
    </row>
    <row r="24" spans="1:4" x14ac:dyDescent="0.35">
      <c r="A24" s="113" t="s">
        <v>76</v>
      </c>
      <c r="B24" s="114" t="s">
        <v>72</v>
      </c>
      <c r="C24" s="115" t="s">
        <v>51</v>
      </c>
      <c r="D24" s="213">
        <v>76800</v>
      </c>
    </row>
    <row r="25" spans="1:4" x14ac:dyDescent="0.35">
      <c r="A25" s="92" t="s">
        <v>65</v>
      </c>
      <c r="B25" s="93" t="s">
        <v>10</v>
      </c>
      <c r="C25" s="94" t="s">
        <v>11</v>
      </c>
      <c r="D25" s="206">
        <v>-3400000</v>
      </c>
    </row>
    <row r="26" spans="1:4" x14ac:dyDescent="0.35">
      <c r="A26" s="95" t="s">
        <v>66</v>
      </c>
      <c r="B26" s="96" t="s">
        <v>10</v>
      </c>
      <c r="C26" s="97" t="s">
        <v>11</v>
      </c>
      <c r="D26" s="207">
        <v>-6000000</v>
      </c>
    </row>
    <row r="27" spans="1:4" x14ac:dyDescent="0.35">
      <c r="A27" s="98" t="s">
        <v>67</v>
      </c>
      <c r="B27" s="99" t="s">
        <v>10</v>
      </c>
      <c r="C27" s="100" t="s">
        <v>68</v>
      </c>
      <c r="D27" s="208">
        <v>759251</v>
      </c>
    </row>
    <row r="28" spans="1:4" x14ac:dyDescent="0.35">
      <c r="A28" s="101" t="s">
        <v>69</v>
      </c>
      <c r="B28" s="102" t="s">
        <v>10</v>
      </c>
      <c r="C28" s="103" t="s">
        <v>68</v>
      </c>
      <c r="D28" s="209">
        <v>2274922</v>
      </c>
    </row>
    <row r="29" spans="1:4" x14ac:dyDescent="0.35">
      <c r="A29" s="104" t="s">
        <v>70</v>
      </c>
      <c r="B29" s="105" t="s">
        <v>10</v>
      </c>
      <c r="C29" s="106" t="s">
        <v>18</v>
      </c>
      <c r="D29" s="210">
        <v>141946</v>
      </c>
    </row>
    <row r="30" spans="1:4" x14ac:dyDescent="0.35">
      <c r="A30" s="89" t="s">
        <v>63</v>
      </c>
      <c r="B30" s="90" t="s">
        <v>64</v>
      </c>
      <c r="C30" s="91" t="s">
        <v>11</v>
      </c>
      <c r="D30" s="205">
        <v>-3954639</v>
      </c>
    </row>
    <row r="31" spans="1:4" x14ac:dyDescent="0.35">
      <c r="A31" s="83" t="s">
        <v>59</v>
      </c>
      <c r="B31" s="84" t="s">
        <v>60</v>
      </c>
      <c r="C31" s="85" t="s">
        <v>48</v>
      </c>
      <c r="D31" s="203">
        <v>944959</v>
      </c>
    </row>
    <row r="32" spans="1:4" x14ac:dyDescent="0.35">
      <c r="A32" s="86" t="s">
        <v>61</v>
      </c>
      <c r="B32" s="87" t="s">
        <v>60</v>
      </c>
      <c r="C32" s="88" t="s">
        <v>62</v>
      </c>
      <c r="D32" s="204">
        <v>4023096</v>
      </c>
    </row>
    <row r="33" spans="1:5" x14ac:dyDescent="0.35">
      <c r="A33" s="68" t="s">
        <v>52</v>
      </c>
      <c r="B33" s="69" t="s">
        <v>53</v>
      </c>
      <c r="C33" s="70" t="s">
        <v>21</v>
      </c>
      <c r="D33" s="198">
        <v>199327</v>
      </c>
    </row>
    <row r="34" spans="1:5" x14ac:dyDescent="0.35">
      <c r="A34" s="71" t="s">
        <v>54</v>
      </c>
      <c r="B34" s="72" t="s">
        <v>53</v>
      </c>
      <c r="C34" s="73" t="s">
        <v>25</v>
      </c>
      <c r="D34" s="199">
        <v>39000</v>
      </c>
    </row>
    <row r="35" spans="1:5" x14ac:dyDescent="0.35">
      <c r="A35" s="74" t="s">
        <v>55</v>
      </c>
      <c r="B35" s="75" t="s">
        <v>53</v>
      </c>
      <c r="C35" s="76" t="s">
        <v>18</v>
      </c>
      <c r="D35" s="200">
        <v>150551</v>
      </c>
    </row>
    <row r="36" spans="1:5" x14ac:dyDescent="0.35">
      <c r="A36" s="77" t="s">
        <v>56</v>
      </c>
      <c r="B36" s="78" t="s">
        <v>53</v>
      </c>
      <c r="C36" s="79" t="s">
        <v>57</v>
      </c>
      <c r="D36" s="201">
        <v>66160</v>
      </c>
    </row>
    <row r="37" spans="1:5" x14ac:dyDescent="0.35">
      <c r="A37" s="80" t="s">
        <v>58</v>
      </c>
      <c r="B37" s="81" t="s">
        <v>53</v>
      </c>
      <c r="C37" s="82" t="s">
        <v>31</v>
      </c>
      <c r="D37" s="202">
        <v>38610</v>
      </c>
      <c r="E37" s="234">
        <f>SUM($D$2:D37)</f>
        <v>-1810954</v>
      </c>
    </row>
    <row r="38" spans="1:5" x14ac:dyDescent="0.35">
      <c r="A38" s="59" t="s">
        <v>46</v>
      </c>
      <c r="B38" s="60" t="s">
        <v>47</v>
      </c>
      <c r="C38" s="61" t="s">
        <v>48</v>
      </c>
      <c r="D38" s="195">
        <v>662600</v>
      </c>
    </row>
    <row r="39" spans="1:5" x14ac:dyDescent="0.35">
      <c r="A39" s="62" t="s">
        <v>49</v>
      </c>
      <c r="B39" s="63" t="s">
        <v>47</v>
      </c>
      <c r="C39" s="64" t="s">
        <v>33</v>
      </c>
      <c r="D39" s="196">
        <v>62000</v>
      </c>
    </row>
    <row r="40" spans="1:5" x14ac:dyDescent="0.35">
      <c r="A40" s="65" t="s">
        <v>50</v>
      </c>
      <c r="B40" s="66" t="s">
        <v>47</v>
      </c>
      <c r="C40" s="67" t="s">
        <v>51</v>
      </c>
      <c r="D40" s="197">
        <v>100500</v>
      </c>
    </row>
    <row r="41" spans="1:5" x14ac:dyDescent="0.35">
      <c r="A41" s="56" t="s">
        <v>43</v>
      </c>
      <c r="B41" s="57" t="s">
        <v>44</v>
      </c>
      <c r="C41" s="58" t="s">
        <v>45</v>
      </c>
      <c r="D41" s="194">
        <v>41900</v>
      </c>
    </row>
    <row r="42" spans="1:5" x14ac:dyDescent="0.35">
      <c r="A42" s="50" t="s">
        <v>38</v>
      </c>
      <c r="B42" s="51" t="s">
        <v>39</v>
      </c>
      <c r="C42" s="52" t="s">
        <v>40</v>
      </c>
      <c r="D42" s="192">
        <v>1470887</v>
      </c>
    </row>
    <row r="43" spans="1:5" x14ac:dyDescent="0.35">
      <c r="A43" s="53" t="s">
        <v>41</v>
      </c>
      <c r="B43" s="54" t="s">
        <v>39</v>
      </c>
      <c r="C43" s="55" t="s">
        <v>42</v>
      </c>
      <c r="D43" s="193">
        <v>41800</v>
      </c>
    </row>
    <row r="44" spans="1:5" x14ac:dyDescent="0.35">
      <c r="A44" s="38" t="s">
        <v>29</v>
      </c>
      <c r="B44" s="39" t="s">
        <v>30</v>
      </c>
      <c r="C44" s="40" t="s">
        <v>31</v>
      </c>
      <c r="D44" s="188">
        <v>129900</v>
      </c>
    </row>
    <row r="45" spans="1:5" x14ac:dyDescent="0.35">
      <c r="A45" s="41" t="s">
        <v>32</v>
      </c>
      <c r="B45" s="42" t="s">
        <v>30</v>
      </c>
      <c r="C45" s="43" t="s">
        <v>33</v>
      </c>
      <c r="D45" s="189">
        <v>37300</v>
      </c>
    </row>
    <row r="46" spans="1:5" x14ac:dyDescent="0.35">
      <c r="A46" s="44" t="s">
        <v>34</v>
      </c>
      <c r="B46" s="45" t="s">
        <v>30</v>
      </c>
      <c r="C46" s="46" t="s">
        <v>35</v>
      </c>
      <c r="D46" s="190">
        <v>172282</v>
      </c>
    </row>
    <row r="47" spans="1:5" x14ac:dyDescent="0.35">
      <c r="A47" s="47" t="s">
        <v>36</v>
      </c>
      <c r="B47" s="48" t="s">
        <v>30</v>
      </c>
      <c r="C47" s="49" t="s">
        <v>37</v>
      </c>
      <c r="D47" s="191">
        <v>1865700</v>
      </c>
    </row>
    <row r="48" spans="1:5" x14ac:dyDescent="0.35">
      <c r="A48" s="35" t="s">
        <v>26</v>
      </c>
      <c r="B48" s="36" t="s">
        <v>27</v>
      </c>
      <c r="C48" s="37" t="s">
        <v>28</v>
      </c>
      <c r="D48" s="187">
        <v>100000</v>
      </c>
    </row>
    <row r="49" spans="1:5" x14ac:dyDescent="0.35">
      <c r="A49" s="23" t="s">
        <v>19</v>
      </c>
      <c r="B49" s="24" t="s">
        <v>20</v>
      </c>
      <c r="C49" s="25" t="s">
        <v>21</v>
      </c>
      <c r="D49" s="183">
        <v>45960</v>
      </c>
    </row>
    <row r="50" spans="1:5" x14ac:dyDescent="0.35">
      <c r="A50" s="26" t="s">
        <v>22</v>
      </c>
      <c r="B50" s="27" t="s">
        <v>20</v>
      </c>
      <c r="C50" s="28" t="s">
        <v>21</v>
      </c>
      <c r="D50" s="184">
        <v>62500</v>
      </c>
    </row>
    <row r="51" spans="1:5" x14ac:dyDescent="0.35">
      <c r="A51" s="29" t="s">
        <v>23</v>
      </c>
      <c r="B51" s="30" t="s">
        <v>20</v>
      </c>
      <c r="C51" s="31" t="s">
        <v>21</v>
      </c>
      <c r="D51" s="185">
        <v>9902</v>
      </c>
    </row>
    <row r="52" spans="1:5" x14ac:dyDescent="0.35">
      <c r="A52" s="32" t="s">
        <v>24</v>
      </c>
      <c r="B52" s="33" t="s">
        <v>20</v>
      </c>
      <c r="C52" s="34" t="s">
        <v>25</v>
      </c>
      <c r="D52" s="186">
        <v>47000</v>
      </c>
    </row>
    <row r="53" spans="1:5" x14ac:dyDescent="0.35">
      <c r="A53" s="20" t="s">
        <v>16</v>
      </c>
      <c r="B53" s="21" t="s">
        <v>17</v>
      </c>
      <c r="C53" s="22" t="s">
        <v>18</v>
      </c>
      <c r="D53" s="182">
        <v>271050</v>
      </c>
    </row>
    <row r="54" spans="1:5" x14ac:dyDescent="0.35">
      <c r="A54" s="17" t="s">
        <v>0</v>
      </c>
      <c r="B54" s="18" t="s">
        <v>1</v>
      </c>
      <c r="C54" s="19" t="s">
        <v>15</v>
      </c>
      <c r="D54" s="181">
        <v>41429.449999999997</v>
      </c>
      <c r="E54" s="234">
        <f>SUM($D$2:D54)</f>
        <v>3351756.45</v>
      </c>
    </row>
  </sheetData>
  <sortState xmlns:xlrd2="http://schemas.microsoft.com/office/spreadsheetml/2017/richdata2" ref="A2:D54">
    <sortCondition ref="B6:B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DOLARES</vt:lpstr>
      <vt:lpstr>PESOS</vt:lpstr>
    </vt:vector>
  </TitlesOfParts>
  <Company>Paradigma S.A.S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Archivo Excel</dc:title>
  <dc:subject>ParadocCommonDocument.Excel</dc:subject>
  <dc:creator>ParadocXlsBuiderV2</dc:creator>
  <cp:lastModifiedBy>Sergio Lalinde</cp:lastModifiedBy>
  <dcterms:created xsi:type="dcterms:W3CDTF">2024-11-06T22:39:57Z</dcterms:created>
  <dcterms:modified xsi:type="dcterms:W3CDTF">2024-11-06T23:02:24Z</dcterms:modified>
</cp:coreProperties>
</file>