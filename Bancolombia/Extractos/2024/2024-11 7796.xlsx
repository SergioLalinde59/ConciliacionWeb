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baa82c0f0f3862/0. SLB/Bancolombia/Extractos/2024/"/>
    </mc:Choice>
  </mc:AlternateContent>
  <xr:revisionPtr revIDLastSave="32" documentId="11_0428D688A25B46411FDCA1BD6072586A169F24BB" xr6:coauthVersionLast="47" xr6:coauthVersionMax="47" xr10:uidLastSave="{9FD99820-8EA4-4AFF-9A9F-3FFD2B51D370}"/>
  <bookViews>
    <workbookView xWindow="23810" yWindow="0" windowWidth="14680" windowHeight="20970" activeTab="1" xr2:uid="{00000000-000D-0000-FFFF-FFFF00000000}"/>
  </bookViews>
  <sheets>
    <sheet name="DOLARES" sheetId="1" r:id="rId1"/>
    <sheet name="PES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2" l="1"/>
  <c r="E5" i="1"/>
  <c r="E51" i="2" l="1"/>
  <c r="E36" i="2"/>
</calcChain>
</file>

<file path=xl/sharedStrings.xml><?xml version="1.0" encoding="utf-8"?>
<sst xmlns="http://schemas.openxmlformats.org/spreadsheetml/2006/main" count="170" uniqueCount="115">
  <si>
    <t>30/10/2024</t>
  </si>
  <si>
    <t>30/11/2024</t>
  </si>
  <si>
    <t>Número de Autorización</t>
  </si>
  <si>
    <t>Fecha de Transacción</t>
  </si>
  <si>
    <t>Descripción</t>
  </si>
  <si>
    <t>Valor Original</t>
  </si>
  <si>
    <t>T02665</t>
  </si>
  <si>
    <t>27/11/2024</t>
  </si>
  <si>
    <t>APPLE.COM/BILL</t>
  </si>
  <si>
    <t>C00157</t>
  </si>
  <si>
    <t>16/11/2024</t>
  </si>
  <si>
    <t>ABONO SUCURSAL VIRTUAL</t>
  </si>
  <si>
    <t>R07022</t>
  </si>
  <si>
    <t>14/11/2024</t>
  </si>
  <si>
    <t>DRI*Adobe Sales</t>
  </si>
  <si>
    <t>T00503</t>
  </si>
  <si>
    <t>Adobe</t>
  </si>
  <si>
    <t>000000</t>
  </si>
  <si>
    <t>CUOTA DE MANEJO</t>
  </si>
  <si>
    <t>F01033</t>
  </si>
  <si>
    <t>28/11/2024</t>
  </si>
  <si>
    <t>CAFE DE SANTA BARBARA</t>
  </si>
  <si>
    <t>R07794</t>
  </si>
  <si>
    <t>IKEA ENVIGADO</t>
  </si>
  <si>
    <t>T06404</t>
  </si>
  <si>
    <t>RECARGA AUTOMATICA FLYPASS</t>
  </si>
  <si>
    <t>R05637</t>
  </si>
  <si>
    <t>MERCOLANTA MONTE MADER</t>
  </si>
  <si>
    <t>R1368Z</t>
  </si>
  <si>
    <t>25/11/2024</t>
  </si>
  <si>
    <t>TIGO SERVICIOS HOGAR Y</t>
  </si>
  <si>
    <t>R06659</t>
  </si>
  <si>
    <t>ECOPLASTICOS LA CEJA</t>
  </si>
  <si>
    <t>R06439</t>
  </si>
  <si>
    <t>24/11/2024</t>
  </si>
  <si>
    <t>AMAZON.COM</t>
  </si>
  <si>
    <t>R02041</t>
  </si>
  <si>
    <t>R08094</t>
  </si>
  <si>
    <t>23/11/2024</t>
  </si>
  <si>
    <t>EXITO LA CEJA</t>
  </si>
  <si>
    <t>T03332</t>
  </si>
  <si>
    <t>MERCADOPAGO COLOMBIA</t>
  </si>
  <si>
    <t>R04961</t>
  </si>
  <si>
    <t>TIENDA D1 LA CEJA SAN</t>
  </si>
  <si>
    <t>R07839</t>
  </si>
  <si>
    <t>22/11/2024</t>
  </si>
  <si>
    <t>R7587Z</t>
  </si>
  <si>
    <t>21/11/2024</t>
  </si>
  <si>
    <t>EPM SERVICIOS PUBLICOS</t>
  </si>
  <si>
    <t>T00201</t>
  </si>
  <si>
    <t>DLO*GOOGLE YouTubePrem</t>
  </si>
  <si>
    <t>R0017Z</t>
  </si>
  <si>
    <t>20/11/2024</t>
  </si>
  <si>
    <t>R0018Z</t>
  </si>
  <si>
    <t>X00514</t>
  </si>
  <si>
    <t>19/11/2024</t>
  </si>
  <si>
    <t>AVIANCA</t>
  </si>
  <si>
    <t>R06209</t>
  </si>
  <si>
    <t>FALABELLA</t>
  </si>
  <si>
    <t>R06747</t>
  </si>
  <si>
    <t>PRICESMART</t>
  </si>
  <si>
    <t>C04180</t>
  </si>
  <si>
    <t>18/11/2024</t>
  </si>
  <si>
    <t>R04317</t>
  </si>
  <si>
    <t>SURAMERICANA SEGUROS D</t>
  </si>
  <si>
    <t>R04332</t>
  </si>
  <si>
    <t>C01125</t>
  </si>
  <si>
    <t>F09332</t>
  </si>
  <si>
    <t>EAVEMARIA</t>
  </si>
  <si>
    <t>F01757</t>
  </si>
  <si>
    <t>R08081</t>
  </si>
  <si>
    <t>VIVERO EL BUEN SEMBRAD</t>
  </si>
  <si>
    <t>R6123Z</t>
  </si>
  <si>
    <t>15/11/2024</t>
  </si>
  <si>
    <t>CORPAUL</t>
  </si>
  <si>
    <t>R06912</t>
  </si>
  <si>
    <t>F04330</t>
  </si>
  <si>
    <t>R5125Z</t>
  </si>
  <si>
    <t>11/11/2024</t>
  </si>
  <si>
    <t>R07909</t>
  </si>
  <si>
    <t>10/11/2024</t>
  </si>
  <si>
    <t>R00733</t>
  </si>
  <si>
    <t>DOLLARCITY VIVA LA CEJ</t>
  </si>
  <si>
    <t>R07397</t>
  </si>
  <si>
    <t>TIENDA D1 CANTARRANA</t>
  </si>
  <si>
    <t>R09730</t>
  </si>
  <si>
    <t>09/11/2024</t>
  </si>
  <si>
    <t>DEPOS DE MATERIA CONST</t>
  </si>
  <si>
    <t>R06342</t>
  </si>
  <si>
    <t>08/11/2024</t>
  </si>
  <si>
    <t>PLANTAS DEL TAMBO</t>
  </si>
  <si>
    <t>R03821</t>
  </si>
  <si>
    <t>R06963</t>
  </si>
  <si>
    <t>R01665</t>
  </si>
  <si>
    <t>07/11/2024</t>
  </si>
  <si>
    <t>X00911</t>
  </si>
  <si>
    <t>06/11/2024</t>
  </si>
  <si>
    <t>R03451</t>
  </si>
  <si>
    <t>NETFLIX DL</t>
  </si>
  <si>
    <t>R2322Z</t>
  </si>
  <si>
    <t>05/11/2024</t>
  </si>
  <si>
    <t>R07328</t>
  </si>
  <si>
    <t>02/11/2024</t>
  </si>
  <si>
    <t>INV Y REPRESENTACIONES</t>
  </si>
  <si>
    <t>R07223</t>
  </si>
  <si>
    <t>R03423</t>
  </si>
  <si>
    <t>01/11/2024</t>
  </si>
  <si>
    <t>CAR INTEGRADO</t>
  </si>
  <si>
    <t>R02631</t>
  </si>
  <si>
    <t>R01654</t>
  </si>
  <si>
    <t>31/10/2024</t>
  </si>
  <si>
    <t>R08788</t>
  </si>
  <si>
    <t>R09106</t>
  </si>
  <si>
    <t>R00147</t>
  </si>
  <si>
    <t>CAPIRO VIVERO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</si>
</sst>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225" x14ac:knownFonts="1">
    <font>
      <sz val="11"/>
      <name val="Calibri"/>
    </font>
    <font>
      <b/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/>
    <xf numFmtId="0" fontId="61" fillId="0" borderId="0" xfId="0" applyFont="1"/>
    <xf numFmtId="0" fontId="62" fillId="0" borderId="0" xfId="0" applyFont="1"/>
    <xf numFmtId="0" fontId="63" fillId="0" borderId="0" xfId="0" applyFont="1"/>
    <xf numFmtId="0" fontId="65" fillId="0" borderId="0" xfId="0" applyFont="1"/>
    <xf numFmtId="0" fontId="66" fillId="0" borderId="0" xfId="0" applyFont="1"/>
    <xf numFmtId="0" fontId="67" fillId="0" borderId="0" xfId="0" applyFont="1"/>
    <xf numFmtId="0" fontId="69" fillId="0" borderId="0" xfId="0" applyFont="1"/>
    <xf numFmtId="0" fontId="70" fillId="0" borderId="0" xfId="0" applyFont="1"/>
    <xf numFmtId="0" fontId="71" fillId="0" borderId="0" xfId="0" applyFont="1"/>
    <xf numFmtId="0" fontId="73" fillId="0" borderId="0" xfId="0" applyFont="1"/>
    <xf numFmtId="0" fontId="74" fillId="0" borderId="0" xfId="0" applyFont="1"/>
    <xf numFmtId="0" fontId="75" fillId="0" borderId="0" xfId="0" applyFont="1"/>
    <xf numFmtId="0" fontId="77" fillId="0" borderId="0" xfId="0" applyFont="1"/>
    <xf numFmtId="0" fontId="78" fillId="0" borderId="0" xfId="0" applyFont="1"/>
    <xf numFmtId="0" fontId="79" fillId="0" borderId="0" xfId="0" applyFont="1"/>
    <xf numFmtId="0" fontId="81" fillId="0" borderId="0" xfId="0" applyFont="1"/>
    <xf numFmtId="0" fontId="82" fillId="0" borderId="0" xfId="0" applyFont="1"/>
    <xf numFmtId="0" fontId="83" fillId="0" borderId="0" xfId="0" applyFont="1"/>
    <xf numFmtId="0" fontId="85" fillId="0" borderId="0" xfId="0" applyFont="1"/>
    <xf numFmtId="0" fontId="86" fillId="0" borderId="0" xfId="0" applyFont="1"/>
    <xf numFmtId="0" fontId="87" fillId="0" borderId="0" xfId="0" applyFont="1"/>
    <xf numFmtId="0" fontId="89" fillId="0" borderId="0" xfId="0" applyFont="1"/>
    <xf numFmtId="0" fontId="90" fillId="0" borderId="0" xfId="0" applyFont="1"/>
    <xf numFmtId="0" fontId="91" fillId="0" borderId="0" xfId="0" applyFont="1"/>
    <xf numFmtId="0" fontId="93" fillId="0" borderId="0" xfId="0" applyFont="1"/>
    <xf numFmtId="0" fontId="94" fillId="0" borderId="0" xfId="0" applyFont="1"/>
    <xf numFmtId="0" fontId="95" fillId="0" borderId="0" xfId="0" applyFont="1"/>
    <xf numFmtId="0" fontId="97" fillId="0" borderId="0" xfId="0" applyFont="1"/>
    <xf numFmtId="0" fontId="98" fillId="0" borderId="0" xfId="0" applyFont="1"/>
    <xf numFmtId="0" fontId="99" fillId="0" borderId="0" xfId="0" applyFont="1"/>
    <xf numFmtId="0" fontId="101" fillId="0" borderId="0" xfId="0" applyFont="1"/>
    <xf numFmtId="0" fontId="102" fillId="0" borderId="0" xfId="0" applyFont="1"/>
    <xf numFmtId="0" fontId="103" fillId="0" borderId="0" xfId="0" applyFont="1"/>
    <xf numFmtId="0" fontId="105" fillId="0" borderId="0" xfId="0" applyFont="1"/>
    <xf numFmtId="0" fontId="106" fillId="0" borderId="0" xfId="0" applyFont="1"/>
    <xf numFmtId="0" fontId="107" fillId="0" borderId="0" xfId="0" applyFont="1"/>
    <xf numFmtId="0" fontId="109" fillId="0" borderId="0" xfId="0" applyFont="1"/>
    <xf numFmtId="0" fontId="110" fillId="0" borderId="0" xfId="0" applyFont="1"/>
    <xf numFmtId="0" fontId="111" fillId="0" borderId="0" xfId="0" applyFont="1"/>
    <xf numFmtId="0" fontId="113" fillId="0" borderId="0" xfId="0" applyFont="1"/>
    <xf numFmtId="0" fontId="114" fillId="0" borderId="0" xfId="0" applyFont="1"/>
    <xf numFmtId="0" fontId="115" fillId="0" borderId="0" xfId="0" applyFont="1"/>
    <xf numFmtId="0" fontId="117" fillId="0" borderId="0" xfId="0" applyFont="1"/>
    <xf numFmtId="0" fontId="118" fillId="0" borderId="0" xfId="0" applyFont="1"/>
    <xf numFmtId="0" fontId="119" fillId="0" borderId="0" xfId="0" applyFont="1"/>
    <xf numFmtId="0" fontId="121" fillId="0" borderId="0" xfId="0" applyFont="1"/>
    <xf numFmtId="0" fontId="122" fillId="0" borderId="0" xfId="0" applyFont="1"/>
    <xf numFmtId="0" fontId="123" fillId="0" borderId="0" xfId="0" applyFont="1"/>
    <xf numFmtId="0" fontId="125" fillId="0" borderId="0" xfId="0" applyFont="1"/>
    <xf numFmtId="0" fontId="126" fillId="0" borderId="0" xfId="0" applyFont="1"/>
    <xf numFmtId="0" fontId="127" fillId="0" borderId="0" xfId="0" applyFont="1"/>
    <xf numFmtId="0" fontId="129" fillId="0" borderId="0" xfId="0" applyFont="1"/>
    <xf numFmtId="0" fontId="130" fillId="0" borderId="0" xfId="0" applyFont="1"/>
    <xf numFmtId="0" fontId="131" fillId="0" borderId="0" xfId="0" applyFont="1"/>
    <xf numFmtId="0" fontId="133" fillId="0" borderId="0" xfId="0" applyFont="1"/>
    <xf numFmtId="0" fontId="134" fillId="0" borderId="0" xfId="0" applyFont="1"/>
    <xf numFmtId="0" fontId="135" fillId="0" borderId="0" xfId="0" applyFont="1"/>
    <xf numFmtId="0" fontId="137" fillId="0" borderId="0" xfId="0" applyFont="1"/>
    <xf numFmtId="0" fontId="138" fillId="0" borderId="0" xfId="0" applyFont="1"/>
    <xf numFmtId="0" fontId="139" fillId="0" borderId="0" xfId="0" applyFont="1"/>
    <xf numFmtId="0" fontId="141" fillId="0" borderId="0" xfId="0" applyFont="1"/>
    <xf numFmtId="0" fontId="142" fillId="0" borderId="0" xfId="0" applyFont="1"/>
    <xf numFmtId="0" fontId="143" fillId="0" borderId="0" xfId="0" applyFont="1"/>
    <xf numFmtId="0" fontId="145" fillId="0" borderId="0" xfId="0" applyFont="1"/>
    <xf numFmtId="0" fontId="146" fillId="0" borderId="0" xfId="0" applyFont="1"/>
    <xf numFmtId="0" fontId="147" fillId="0" borderId="0" xfId="0" applyFont="1"/>
    <xf numFmtId="0" fontId="149" fillId="0" borderId="0" xfId="0" applyFont="1"/>
    <xf numFmtId="0" fontId="150" fillId="0" borderId="0" xfId="0" applyFont="1"/>
    <xf numFmtId="0" fontId="151" fillId="0" borderId="0" xfId="0" applyFont="1"/>
    <xf numFmtId="0" fontId="153" fillId="0" borderId="0" xfId="0" applyFont="1"/>
    <xf numFmtId="0" fontId="154" fillId="0" borderId="0" xfId="0" applyFont="1"/>
    <xf numFmtId="0" fontId="155" fillId="0" borderId="0" xfId="0" applyFont="1"/>
    <xf numFmtId="0" fontId="157" fillId="0" borderId="0" xfId="0" applyFont="1"/>
    <xf numFmtId="0" fontId="158" fillId="0" borderId="0" xfId="0" applyFont="1"/>
    <xf numFmtId="0" fontId="159" fillId="0" borderId="0" xfId="0" applyFont="1"/>
    <xf numFmtId="0" fontId="161" fillId="0" borderId="0" xfId="0" applyFont="1"/>
    <xf numFmtId="0" fontId="162" fillId="0" borderId="0" xfId="0" applyFont="1"/>
    <xf numFmtId="0" fontId="163" fillId="0" borderId="0" xfId="0" applyFont="1"/>
    <xf numFmtId="0" fontId="165" fillId="0" borderId="0" xfId="0" applyFont="1"/>
    <xf numFmtId="0" fontId="166" fillId="0" borderId="0" xfId="0" applyFont="1"/>
    <xf numFmtId="0" fontId="167" fillId="0" borderId="0" xfId="0" applyFont="1"/>
    <xf numFmtId="0" fontId="169" fillId="0" borderId="0" xfId="0" applyFont="1"/>
    <xf numFmtId="0" fontId="170" fillId="0" borderId="0" xfId="0" applyFont="1"/>
    <xf numFmtId="0" fontId="171" fillId="0" borderId="0" xfId="0" applyFont="1"/>
    <xf numFmtId="0" fontId="173" fillId="0" borderId="0" xfId="0" applyFont="1"/>
    <xf numFmtId="0" fontId="174" fillId="0" borderId="0" xfId="0" applyFont="1"/>
    <xf numFmtId="0" fontId="175" fillId="0" borderId="0" xfId="0" applyFont="1"/>
    <xf numFmtId="0" fontId="177" fillId="0" borderId="0" xfId="0" applyFont="1"/>
    <xf numFmtId="0" fontId="178" fillId="0" borderId="0" xfId="0" applyFont="1"/>
    <xf numFmtId="0" fontId="179" fillId="0" borderId="0" xfId="0" applyFont="1"/>
    <xf numFmtId="0" fontId="181" fillId="0" borderId="0" xfId="0" applyFont="1"/>
    <xf numFmtId="0" fontId="182" fillId="0" borderId="0" xfId="0" applyFont="1"/>
    <xf numFmtId="0" fontId="183" fillId="0" borderId="0" xfId="0" applyFont="1"/>
    <xf numFmtId="0" fontId="185" fillId="0" borderId="0" xfId="0" applyFont="1"/>
    <xf numFmtId="0" fontId="186" fillId="0" borderId="0" xfId="0" applyFont="1"/>
    <xf numFmtId="0" fontId="187" fillId="0" borderId="0" xfId="0" applyFont="1"/>
    <xf numFmtId="0" fontId="189" fillId="0" borderId="0" xfId="0" applyFont="1"/>
    <xf numFmtId="0" fontId="190" fillId="0" borderId="0" xfId="0" applyFont="1"/>
    <xf numFmtId="0" fontId="191" fillId="0" borderId="0" xfId="0" applyFont="1"/>
    <xf numFmtId="0" fontId="193" fillId="0" borderId="0" xfId="0" applyFont="1"/>
    <xf numFmtId="0" fontId="194" fillId="0" borderId="0" xfId="0" applyFont="1"/>
    <xf numFmtId="0" fontId="195" fillId="0" borderId="0" xfId="0" applyFont="1"/>
    <xf numFmtId="0" fontId="197" fillId="0" borderId="0" xfId="0" applyFont="1"/>
    <xf numFmtId="0" fontId="198" fillId="0" borderId="0" xfId="0" applyFont="1"/>
    <xf numFmtId="0" fontId="199" fillId="0" borderId="0" xfId="0" applyFont="1"/>
    <xf numFmtId="0" fontId="201" fillId="0" borderId="0" xfId="0" applyFont="1"/>
    <xf numFmtId="0" fontId="202" fillId="0" borderId="0" xfId="0" applyFont="1"/>
    <xf numFmtId="0" fontId="203" fillId="0" borderId="0" xfId="0" applyFont="1"/>
    <xf numFmtId="0" fontId="205" fillId="0" borderId="0" xfId="0" applyFont="1"/>
    <xf numFmtId="0" fontId="206" fillId="0" borderId="0" xfId="0" applyFont="1"/>
    <xf numFmtId="0" fontId="207" fillId="0" borderId="0" xfId="0" applyFont="1"/>
    <xf numFmtId="0" fontId="209" fillId="0" borderId="0" xfId="0" applyFont="1"/>
    <xf numFmtId="0" fontId="210" fillId="0" borderId="0" xfId="0" applyFont="1"/>
    <xf numFmtId="0" fontId="211" fillId="0" borderId="0" xfId="0" applyFont="1"/>
    <xf numFmtId="0" fontId="213" fillId="0" borderId="0" xfId="0" applyFont="1"/>
    <xf numFmtId="0" fontId="214" fillId="0" borderId="0" xfId="0" applyFont="1"/>
    <xf numFmtId="0" fontId="215" fillId="0" borderId="0" xfId="0" applyFont="1"/>
    <xf numFmtId="0" fontId="217" fillId="0" borderId="0" xfId="0" applyFont="1"/>
    <xf numFmtId="0" fontId="218" fillId="0" borderId="0" xfId="0" applyFont="1"/>
    <xf numFmtId="0" fontId="219" fillId="0" borderId="0" xfId="0" applyFont="1"/>
    <xf numFmtId="0" fontId="221" fillId="0" borderId="0" xfId="0" applyFont="1"/>
    <xf numFmtId="0" fontId="222" fillId="0" borderId="0" xfId="0" applyFont="1"/>
    <xf numFmtId="0" fontId="223" fillId="0" borderId="0" xfId="0" applyFont="1"/>
    <xf numFmtId="164" fontId="4" fillId="0" borderId="0" xfId="0" applyNumberFormat="1" applyFont="1"/>
    <xf numFmtId="164" fontId="8" fillId="0" borderId="0" xfId="0" applyNumberFormat="1" applyFont="1"/>
    <xf numFmtId="164" fontId="12" fillId="0" borderId="0" xfId="0" applyNumberFormat="1" applyFont="1"/>
    <xf numFmtId="164" fontId="16" fillId="0" borderId="0" xfId="0" applyNumberFormat="1" applyFont="1"/>
    <xf numFmtId="164" fontId="20" fillId="0" borderId="0" xfId="0" applyNumberFormat="1" applyFont="1"/>
    <xf numFmtId="164" fontId="0" fillId="0" borderId="0" xfId="0" applyNumberFormat="1"/>
    <xf numFmtId="165" fontId="24" fillId="0" borderId="0" xfId="0" applyNumberFormat="1" applyFont="1"/>
    <xf numFmtId="165" fontId="28" fillId="0" borderId="0" xfId="0" applyNumberFormat="1" applyFont="1"/>
    <xf numFmtId="165" fontId="32" fillId="0" borderId="0" xfId="0" applyNumberFormat="1" applyFont="1"/>
    <xf numFmtId="165" fontId="36" fillId="0" borderId="0" xfId="0" applyNumberFormat="1" applyFont="1"/>
    <xf numFmtId="165" fontId="40" fillId="0" borderId="0" xfId="0" applyNumberFormat="1" applyFont="1"/>
    <xf numFmtId="165" fontId="44" fillId="0" borderId="0" xfId="0" applyNumberFormat="1" applyFont="1"/>
    <xf numFmtId="165" fontId="48" fillId="0" borderId="0" xfId="0" applyNumberFormat="1" applyFont="1"/>
    <xf numFmtId="165" fontId="52" fillId="0" borderId="0" xfId="0" applyNumberFormat="1" applyFont="1"/>
    <xf numFmtId="165" fontId="56" fillId="0" borderId="0" xfId="0" applyNumberFormat="1" applyFont="1"/>
    <xf numFmtId="165" fontId="60" fillId="0" borderId="0" xfId="0" applyNumberFormat="1" applyFont="1"/>
    <xf numFmtId="165" fontId="64" fillId="0" borderId="0" xfId="0" applyNumberFormat="1" applyFont="1"/>
    <xf numFmtId="165" fontId="68" fillId="0" borderId="0" xfId="0" applyNumberFormat="1" applyFont="1"/>
    <xf numFmtId="165" fontId="72" fillId="0" borderId="0" xfId="0" applyNumberFormat="1" applyFont="1"/>
    <xf numFmtId="165" fontId="76" fillId="0" borderId="0" xfId="0" applyNumberFormat="1" applyFont="1"/>
    <xf numFmtId="165" fontId="80" fillId="0" borderId="0" xfId="0" applyNumberFormat="1" applyFont="1"/>
    <xf numFmtId="165" fontId="84" fillId="0" borderId="0" xfId="0" applyNumberFormat="1" applyFont="1"/>
    <xf numFmtId="165" fontId="88" fillId="0" borderId="0" xfId="0" applyNumberFormat="1" applyFont="1"/>
    <xf numFmtId="165" fontId="92" fillId="0" borderId="0" xfId="0" applyNumberFormat="1" applyFont="1"/>
    <xf numFmtId="165" fontId="96" fillId="0" borderId="0" xfId="0" applyNumberFormat="1" applyFont="1"/>
    <xf numFmtId="165" fontId="100" fillId="0" borderId="0" xfId="0" applyNumberFormat="1" applyFont="1"/>
    <xf numFmtId="165" fontId="104" fillId="0" borderId="0" xfId="0" applyNumberFormat="1" applyFont="1"/>
    <xf numFmtId="165" fontId="108" fillId="0" borderId="0" xfId="0" applyNumberFormat="1" applyFont="1"/>
    <xf numFmtId="165" fontId="112" fillId="0" borderId="0" xfId="0" applyNumberFormat="1" applyFont="1"/>
    <xf numFmtId="165" fontId="116" fillId="0" borderId="0" xfId="0" applyNumberFormat="1" applyFont="1"/>
    <xf numFmtId="165" fontId="120" fillId="0" borderId="0" xfId="0" applyNumberFormat="1" applyFont="1"/>
    <xf numFmtId="165" fontId="124" fillId="0" borderId="0" xfId="0" applyNumberFormat="1" applyFont="1"/>
    <xf numFmtId="165" fontId="128" fillId="0" borderId="0" xfId="0" applyNumberFormat="1" applyFont="1"/>
    <xf numFmtId="165" fontId="132" fillId="0" borderId="0" xfId="0" applyNumberFormat="1" applyFont="1"/>
    <xf numFmtId="165" fontId="136" fillId="0" borderId="0" xfId="0" applyNumberFormat="1" applyFont="1"/>
    <xf numFmtId="165" fontId="140" fillId="0" borderId="0" xfId="0" applyNumberFormat="1" applyFont="1"/>
    <xf numFmtId="165" fontId="144" fillId="0" borderId="0" xfId="0" applyNumberFormat="1" applyFont="1"/>
    <xf numFmtId="165" fontId="148" fillId="0" borderId="0" xfId="0" applyNumberFormat="1" applyFont="1"/>
    <xf numFmtId="165" fontId="152" fillId="0" borderId="0" xfId="0" applyNumberFormat="1" applyFont="1"/>
    <xf numFmtId="165" fontId="156" fillId="0" borderId="0" xfId="0" applyNumberFormat="1" applyFont="1"/>
    <xf numFmtId="165" fontId="160" fillId="0" borderId="0" xfId="0" applyNumberFormat="1" applyFont="1"/>
    <xf numFmtId="165" fontId="164" fillId="0" borderId="0" xfId="0" applyNumberFormat="1" applyFont="1"/>
    <xf numFmtId="165" fontId="168" fillId="0" borderId="0" xfId="0" applyNumberFormat="1" applyFont="1"/>
    <xf numFmtId="165" fontId="172" fillId="0" borderId="0" xfId="0" applyNumberFormat="1" applyFont="1"/>
    <xf numFmtId="165" fontId="176" fillId="0" borderId="0" xfId="0" applyNumberFormat="1" applyFont="1"/>
    <xf numFmtId="165" fontId="180" fillId="0" borderId="0" xfId="0" applyNumberFormat="1" applyFont="1"/>
    <xf numFmtId="165" fontId="184" fillId="0" borderId="0" xfId="0" applyNumberFormat="1" applyFont="1"/>
    <xf numFmtId="165" fontId="188" fillId="0" borderId="0" xfId="0" applyNumberFormat="1" applyFont="1"/>
    <xf numFmtId="165" fontId="192" fillId="0" borderId="0" xfId="0" applyNumberFormat="1" applyFont="1"/>
    <xf numFmtId="165" fontId="196" fillId="0" borderId="0" xfId="0" applyNumberFormat="1" applyFont="1"/>
    <xf numFmtId="165" fontId="200" fillId="0" borderId="0" xfId="0" applyNumberFormat="1" applyFont="1"/>
    <xf numFmtId="165" fontId="204" fillId="0" borderId="0" xfId="0" applyNumberFormat="1" applyFont="1"/>
    <xf numFmtId="165" fontId="208" fillId="0" borderId="0" xfId="0" applyNumberFormat="1" applyFont="1"/>
    <xf numFmtId="165" fontId="212" fillId="0" borderId="0" xfId="0" applyNumberFormat="1" applyFont="1"/>
    <xf numFmtId="165" fontId="216" fillId="0" borderId="0" xfId="0" applyNumberFormat="1" applyFont="1"/>
    <xf numFmtId="165" fontId="220" fillId="0" borderId="0" xfId="0" applyNumberFormat="1" applyFont="1"/>
    <xf numFmtId="165" fontId="224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E5" sqref="E5"/>
    </sheetView>
  </sheetViews>
  <sheetFormatPr baseColWidth="10" defaultRowHeight="14.5" x14ac:dyDescent="0.35"/>
  <cols>
    <col min="1" max="2" width="12" customWidth="1"/>
    <col min="3" max="3" width="23.6328125" bestFit="1" customWidth="1"/>
    <col min="4" max="4" width="12" style="174" customWidth="1"/>
  </cols>
  <sheetData>
    <row r="1" spans="1:5" x14ac:dyDescent="0.35">
      <c r="A1" s="1" t="s">
        <v>2</v>
      </c>
      <c r="B1" s="2" t="s">
        <v>3</v>
      </c>
      <c r="C1" s="3" t="s">
        <v>4</v>
      </c>
      <c r="D1" s="169" t="s">
        <v>5</v>
      </c>
    </row>
    <row r="2" spans="1:5" x14ac:dyDescent="0.35">
      <c r="A2" s="4" t="s">
        <v>6</v>
      </c>
      <c r="B2" s="5" t="s">
        <v>7</v>
      </c>
      <c r="C2" s="6" t="s">
        <v>8</v>
      </c>
      <c r="D2" s="170">
        <v>2.92</v>
      </c>
    </row>
    <row r="3" spans="1:5" x14ac:dyDescent="0.35">
      <c r="A3" s="7" t="s">
        <v>9</v>
      </c>
      <c r="B3" s="8" t="s">
        <v>10</v>
      </c>
      <c r="C3" s="9" t="s">
        <v>11</v>
      </c>
      <c r="D3" s="171">
        <v>-12</v>
      </c>
    </row>
    <row r="4" spans="1:5" x14ac:dyDescent="0.35">
      <c r="A4" s="10" t="s">
        <v>12</v>
      </c>
      <c r="B4" s="11" t="s">
        <v>13</v>
      </c>
      <c r="C4" s="12" t="s">
        <v>14</v>
      </c>
      <c r="D4" s="172">
        <v>8.66</v>
      </c>
    </row>
    <row r="5" spans="1:5" x14ac:dyDescent="0.35">
      <c r="A5" s="13" t="s">
        <v>15</v>
      </c>
      <c r="B5" s="14" t="s">
        <v>13</v>
      </c>
      <c r="C5" s="15" t="s">
        <v>16</v>
      </c>
      <c r="D5" s="173">
        <v>4.4400000000000004</v>
      </c>
      <c r="E5" s="174">
        <f>SUM(D2:D5)</f>
        <v>4.0200000000000005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"/>
  <sheetViews>
    <sheetView tabSelected="1" workbookViewId="0">
      <pane ySplit="1" topLeftCell="A2" activePane="bottomLeft" state="frozen"/>
      <selection pane="bottomLeft" activeCell="F21" sqref="F21"/>
    </sheetView>
  </sheetViews>
  <sheetFormatPr baseColWidth="10" defaultRowHeight="14.5" x14ac:dyDescent="0.35"/>
  <cols>
    <col min="1" max="2" width="12" customWidth="1"/>
    <col min="3" max="3" width="27.7265625" bestFit="1" customWidth="1"/>
    <col min="4" max="4" width="12" style="226" customWidth="1"/>
  </cols>
  <sheetData>
    <row r="1" spans="1:4" x14ac:dyDescent="0.35">
      <c r="A1" s="16" t="s">
        <v>2</v>
      </c>
      <c r="B1" s="17" t="s">
        <v>3</v>
      </c>
      <c r="C1" s="18" t="s">
        <v>4</v>
      </c>
      <c r="D1" s="175" t="s">
        <v>5</v>
      </c>
    </row>
    <row r="2" spans="1:4" x14ac:dyDescent="0.35">
      <c r="A2" s="166" t="s">
        <v>113</v>
      </c>
      <c r="B2" s="167" t="s">
        <v>0</v>
      </c>
      <c r="C2" s="168" t="s">
        <v>114</v>
      </c>
      <c r="D2" s="225">
        <v>29500</v>
      </c>
    </row>
    <row r="3" spans="1:4" x14ac:dyDescent="0.35">
      <c r="A3" s="157" t="s">
        <v>109</v>
      </c>
      <c r="B3" s="158" t="s">
        <v>110</v>
      </c>
      <c r="C3" s="159" t="s">
        <v>39</v>
      </c>
      <c r="D3" s="222">
        <v>44650</v>
      </c>
    </row>
    <row r="4" spans="1:4" x14ac:dyDescent="0.35">
      <c r="A4" s="160" t="s">
        <v>111</v>
      </c>
      <c r="B4" s="161" t="s">
        <v>110</v>
      </c>
      <c r="C4" s="162" t="s">
        <v>82</v>
      </c>
      <c r="D4" s="223">
        <v>22400</v>
      </c>
    </row>
    <row r="5" spans="1:4" x14ac:dyDescent="0.35">
      <c r="A5" s="163" t="s">
        <v>112</v>
      </c>
      <c r="B5" s="164" t="s">
        <v>110</v>
      </c>
      <c r="C5" s="165" t="s">
        <v>43</v>
      </c>
      <c r="D5" s="224">
        <v>243810</v>
      </c>
    </row>
    <row r="6" spans="1:4" x14ac:dyDescent="0.35">
      <c r="A6" s="151" t="s">
        <v>105</v>
      </c>
      <c r="B6" s="152" t="s">
        <v>106</v>
      </c>
      <c r="C6" s="153" t="s">
        <v>107</v>
      </c>
      <c r="D6" s="220">
        <v>1430000</v>
      </c>
    </row>
    <row r="7" spans="1:4" x14ac:dyDescent="0.35">
      <c r="A7" s="154" t="s">
        <v>108</v>
      </c>
      <c r="B7" s="155" t="s">
        <v>106</v>
      </c>
      <c r="C7" s="156" t="s">
        <v>71</v>
      </c>
      <c r="D7" s="221">
        <v>68000</v>
      </c>
    </row>
    <row r="8" spans="1:4" x14ac:dyDescent="0.35">
      <c r="A8" s="145" t="s">
        <v>101</v>
      </c>
      <c r="B8" s="146" t="s">
        <v>102</v>
      </c>
      <c r="C8" s="147" t="s">
        <v>103</v>
      </c>
      <c r="D8" s="218">
        <v>238400</v>
      </c>
    </row>
    <row r="9" spans="1:4" x14ac:dyDescent="0.35">
      <c r="A9" s="148" t="s">
        <v>104</v>
      </c>
      <c r="B9" s="149" t="s">
        <v>102</v>
      </c>
      <c r="C9" s="150" t="s">
        <v>84</v>
      </c>
      <c r="D9" s="219">
        <v>111940</v>
      </c>
    </row>
    <row r="10" spans="1:4" x14ac:dyDescent="0.35">
      <c r="A10" s="142" t="s">
        <v>99</v>
      </c>
      <c r="B10" s="143" t="s">
        <v>100</v>
      </c>
      <c r="C10" s="144" t="s">
        <v>30</v>
      </c>
      <c r="D10" s="217">
        <v>42320</v>
      </c>
    </row>
    <row r="11" spans="1:4" x14ac:dyDescent="0.35">
      <c r="A11" s="136" t="s">
        <v>95</v>
      </c>
      <c r="B11" s="137" t="s">
        <v>96</v>
      </c>
      <c r="C11" s="138" t="s">
        <v>56</v>
      </c>
      <c r="D11" s="215">
        <v>669600</v>
      </c>
    </row>
    <row r="12" spans="1:4" x14ac:dyDescent="0.35">
      <c r="A12" s="139" t="s">
        <v>97</v>
      </c>
      <c r="B12" s="140" t="s">
        <v>96</v>
      </c>
      <c r="C12" s="141" t="s">
        <v>98</v>
      </c>
      <c r="D12" s="216">
        <v>38900</v>
      </c>
    </row>
    <row r="13" spans="1:4" x14ac:dyDescent="0.35">
      <c r="A13" s="133" t="s">
        <v>93</v>
      </c>
      <c r="B13" s="134" t="s">
        <v>94</v>
      </c>
      <c r="C13" s="135" t="s">
        <v>82</v>
      </c>
      <c r="D13" s="214">
        <v>48000</v>
      </c>
    </row>
    <row r="14" spans="1:4" x14ac:dyDescent="0.35">
      <c r="A14" s="124" t="s">
        <v>88</v>
      </c>
      <c r="B14" s="125" t="s">
        <v>89</v>
      </c>
      <c r="C14" s="126" t="s">
        <v>90</v>
      </c>
      <c r="D14" s="211">
        <v>755730</v>
      </c>
    </row>
    <row r="15" spans="1:4" x14ac:dyDescent="0.35">
      <c r="A15" s="127" t="s">
        <v>91</v>
      </c>
      <c r="B15" s="128" t="s">
        <v>89</v>
      </c>
      <c r="C15" s="129" t="s">
        <v>35</v>
      </c>
      <c r="D15" s="212">
        <v>322340</v>
      </c>
    </row>
    <row r="16" spans="1:4" x14ac:dyDescent="0.35">
      <c r="A16" s="130" t="s">
        <v>92</v>
      </c>
      <c r="B16" s="131" t="s">
        <v>89</v>
      </c>
      <c r="C16" s="132" t="s">
        <v>35</v>
      </c>
      <c r="D16" s="213">
        <v>161170</v>
      </c>
    </row>
    <row r="17" spans="1:5" x14ac:dyDescent="0.35">
      <c r="A17" s="121" t="s">
        <v>85</v>
      </c>
      <c r="B17" s="122" t="s">
        <v>86</v>
      </c>
      <c r="C17" s="123" t="s">
        <v>87</v>
      </c>
      <c r="D17" s="210">
        <v>16800</v>
      </c>
    </row>
    <row r="18" spans="1:5" x14ac:dyDescent="0.35">
      <c r="A18" s="112" t="s">
        <v>79</v>
      </c>
      <c r="B18" s="113" t="s">
        <v>80</v>
      </c>
      <c r="C18" s="114" t="s">
        <v>39</v>
      </c>
      <c r="D18" s="207">
        <v>155315</v>
      </c>
    </row>
    <row r="19" spans="1:5" x14ac:dyDescent="0.35">
      <c r="A19" s="115" t="s">
        <v>81</v>
      </c>
      <c r="B19" s="116" t="s">
        <v>80</v>
      </c>
      <c r="C19" s="117" t="s">
        <v>82</v>
      </c>
      <c r="D19" s="208">
        <v>39000</v>
      </c>
    </row>
    <row r="20" spans="1:5" x14ac:dyDescent="0.35">
      <c r="A20" s="118" t="s">
        <v>83</v>
      </c>
      <c r="B20" s="119" t="s">
        <v>80</v>
      </c>
      <c r="C20" s="120" t="s">
        <v>84</v>
      </c>
      <c r="D20" s="209">
        <v>22350</v>
      </c>
      <c r="E20" s="226">
        <f>SUM($D$2:D20)</f>
        <v>4460225</v>
      </c>
    </row>
    <row r="21" spans="1:5" x14ac:dyDescent="0.35">
      <c r="A21" s="109" t="s">
        <v>77</v>
      </c>
      <c r="B21" s="110" t="s">
        <v>78</v>
      </c>
      <c r="C21" s="111" t="s">
        <v>30</v>
      </c>
      <c r="D21" s="206">
        <v>188038</v>
      </c>
      <c r="E21" s="226"/>
    </row>
    <row r="22" spans="1:5" x14ac:dyDescent="0.35">
      <c r="A22" s="103" t="s">
        <v>75</v>
      </c>
      <c r="B22" s="104" t="s">
        <v>13</v>
      </c>
      <c r="C22" s="105" t="s">
        <v>27</v>
      </c>
      <c r="D22" s="204">
        <v>38400</v>
      </c>
      <c r="E22" s="226"/>
    </row>
    <row r="23" spans="1:5" x14ac:dyDescent="0.35">
      <c r="A23" s="106" t="s">
        <v>76</v>
      </c>
      <c r="B23" s="107" t="s">
        <v>13</v>
      </c>
      <c r="C23" s="108" t="s">
        <v>68</v>
      </c>
      <c r="D23" s="205">
        <v>300000</v>
      </c>
    </row>
    <row r="24" spans="1:5" x14ac:dyDescent="0.35">
      <c r="A24" s="100" t="s">
        <v>72</v>
      </c>
      <c r="B24" s="101" t="s">
        <v>73</v>
      </c>
      <c r="C24" s="102" t="s">
        <v>74</v>
      </c>
      <c r="D24" s="203">
        <v>10000</v>
      </c>
    </row>
    <row r="25" spans="1:5" x14ac:dyDescent="0.35">
      <c r="A25" s="88" t="s">
        <v>66</v>
      </c>
      <c r="B25" s="89" t="s">
        <v>10</v>
      </c>
      <c r="C25" s="90" t="s">
        <v>11</v>
      </c>
      <c r="D25" s="199">
        <v>-16000000</v>
      </c>
    </row>
    <row r="26" spans="1:5" x14ac:dyDescent="0.35">
      <c r="A26" s="91" t="s">
        <v>67</v>
      </c>
      <c r="B26" s="92" t="s">
        <v>10</v>
      </c>
      <c r="C26" s="93" t="s">
        <v>68</v>
      </c>
      <c r="D26" s="200">
        <v>150000</v>
      </c>
    </row>
    <row r="27" spans="1:5" x14ac:dyDescent="0.35">
      <c r="A27" s="94" t="s">
        <v>69</v>
      </c>
      <c r="B27" s="95" t="s">
        <v>10</v>
      </c>
      <c r="C27" s="96" t="s">
        <v>68</v>
      </c>
      <c r="D27" s="201">
        <v>150000</v>
      </c>
    </row>
    <row r="28" spans="1:5" x14ac:dyDescent="0.35">
      <c r="A28" s="97" t="s">
        <v>70</v>
      </c>
      <c r="B28" s="98" t="s">
        <v>10</v>
      </c>
      <c r="C28" s="99" t="s">
        <v>71</v>
      </c>
      <c r="D28" s="202">
        <v>41500</v>
      </c>
    </row>
    <row r="29" spans="1:5" x14ac:dyDescent="0.35">
      <c r="A29" s="79" t="s">
        <v>61</v>
      </c>
      <c r="B29" s="80" t="s">
        <v>62</v>
      </c>
      <c r="C29" s="81" t="s">
        <v>11</v>
      </c>
      <c r="D29" s="196">
        <v>-706395</v>
      </c>
    </row>
    <row r="30" spans="1:5" x14ac:dyDescent="0.35">
      <c r="A30" s="82" t="s">
        <v>63</v>
      </c>
      <c r="B30" s="83" t="s">
        <v>62</v>
      </c>
      <c r="C30" s="84" t="s">
        <v>64</v>
      </c>
      <c r="D30" s="197">
        <v>759251</v>
      </c>
    </row>
    <row r="31" spans="1:5" x14ac:dyDescent="0.35">
      <c r="A31" s="85" t="s">
        <v>65</v>
      </c>
      <c r="B31" s="86" t="s">
        <v>62</v>
      </c>
      <c r="C31" s="87" t="s">
        <v>64</v>
      </c>
      <c r="D31" s="198">
        <v>2274922</v>
      </c>
    </row>
    <row r="32" spans="1:5" x14ac:dyDescent="0.35">
      <c r="A32" s="70" t="s">
        <v>54</v>
      </c>
      <c r="B32" s="71" t="s">
        <v>55</v>
      </c>
      <c r="C32" s="72" t="s">
        <v>56</v>
      </c>
      <c r="D32" s="193">
        <v>222800</v>
      </c>
    </row>
    <row r="33" spans="1:5" x14ac:dyDescent="0.35">
      <c r="A33" s="73" t="s">
        <v>57</v>
      </c>
      <c r="B33" s="74" t="s">
        <v>55</v>
      </c>
      <c r="C33" s="75" t="s">
        <v>58</v>
      </c>
      <c r="D33" s="194">
        <v>60400</v>
      </c>
    </row>
    <row r="34" spans="1:5" x14ac:dyDescent="0.35">
      <c r="A34" s="76" t="s">
        <v>59</v>
      </c>
      <c r="B34" s="77" t="s">
        <v>55</v>
      </c>
      <c r="C34" s="78" t="s">
        <v>60</v>
      </c>
      <c r="D34" s="195">
        <v>725500</v>
      </c>
    </row>
    <row r="35" spans="1:5" x14ac:dyDescent="0.35">
      <c r="A35" s="64" t="s">
        <v>51</v>
      </c>
      <c r="B35" s="65" t="s">
        <v>52</v>
      </c>
      <c r="C35" s="66" t="s">
        <v>48</v>
      </c>
      <c r="D35" s="191">
        <v>894627</v>
      </c>
    </row>
    <row r="36" spans="1:5" x14ac:dyDescent="0.35">
      <c r="A36" s="67" t="s">
        <v>53</v>
      </c>
      <c r="B36" s="68" t="s">
        <v>52</v>
      </c>
      <c r="C36" s="69" t="s">
        <v>30</v>
      </c>
      <c r="D36" s="192">
        <v>38610</v>
      </c>
      <c r="E36" s="226">
        <f>SUM($D$2:D36)</f>
        <v>-6392122</v>
      </c>
    </row>
    <row r="37" spans="1:5" x14ac:dyDescent="0.35">
      <c r="A37" s="58" t="s">
        <v>46</v>
      </c>
      <c r="B37" s="59" t="s">
        <v>47</v>
      </c>
      <c r="C37" s="60" t="s">
        <v>48</v>
      </c>
      <c r="D37" s="189">
        <v>697144</v>
      </c>
    </row>
    <row r="38" spans="1:5" x14ac:dyDescent="0.35">
      <c r="A38" s="61" t="s">
        <v>49</v>
      </c>
      <c r="B38" s="62" t="s">
        <v>47</v>
      </c>
      <c r="C38" s="63" t="s">
        <v>50</v>
      </c>
      <c r="D38" s="190">
        <v>41900</v>
      </c>
    </row>
    <row r="39" spans="1:5" x14ac:dyDescent="0.35">
      <c r="A39" s="55" t="s">
        <v>44</v>
      </c>
      <c r="B39" s="56" t="s">
        <v>45</v>
      </c>
      <c r="C39" s="57" t="s">
        <v>35</v>
      </c>
      <c r="D39" s="188">
        <v>146528</v>
      </c>
    </row>
    <row r="40" spans="1:5" x14ac:dyDescent="0.35">
      <c r="A40" s="46" t="s">
        <v>37</v>
      </c>
      <c r="B40" s="47" t="s">
        <v>38</v>
      </c>
      <c r="C40" s="48" t="s">
        <v>39</v>
      </c>
      <c r="D40" s="185">
        <v>71580</v>
      </c>
    </row>
    <row r="41" spans="1:5" x14ac:dyDescent="0.35">
      <c r="A41" s="49" t="s">
        <v>40</v>
      </c>
      <c r="B41" s="50" t="s">
        <v>38</v>
      </c>
      <c r="C41" s="51" t="s">
        <v>41</v>
      </c>
      <c r="D41" s="186">
        <v>127500</v>
      </c>
    </row>
    <row r="42" spans="1:5" x14ac:dyDescent="0.35">
      <c r="A42" s="52" t="s">
        <v>42</v>
      </c>
      <c r="B42" s="53" t="s">
        <v>38</v>
      </c>
      <c r="C42" s="54" t="s">
        <v>43</v>
      </c>
      <c r="D42" s="187">
        <v>187300</v>
      </c>
    </row>
    <row r="43" spans="1:5" x14ac:dyDescent="0.35">
      <c r="A43" s="40" t="s">
        <v>33</v>
      </c>
      <c r="B43" s="41" t="s">
        <v>34</v>
      </c>
      <c r="C43" s="42" t="s">
        <v>35</v>
      </c>
      <c r="D43" s="183">
        <v>52666</v>
      </c>
    </row>
    <row r="44" spans="1:5" x14ac:dyDescent="0.35">
      <c r="A44" s="43" t="s">
        <v>36</v>
      </c>
      <c r="B44" s="44" t="s">
        <v>34</v>
      </c>
      <c r="C44" s="45" t="s">
        <v>35</v>
      </c>
      <c r="D44" s="184">
        <v>400275</v>
      </c>
    </row>
    <row r="45" spans="1:5" x14ac:dyDescent="0.35">
      <c r="A45" s="34" t="s">
        <v>28</v>
      </c>
      <c r="B45" s="35" t="s">
        <v>29</v>
      </c>
      <c r="C45" s="36" t="s">
        <v>30</v>
      </c>
      <c r="D45" s="181">
        <v>58572</v>
      </c>
    </row>
    <row r="46" spans="1:5" x14ac:dyDescent="0.35">
      <c r="A46" s="37" t="s">
        <v>31</v>
      </c>
      <c r="B46" s="38" t="s">
        <v>29</v>
      </c>
      <c r="C46" s="39" t="s">
        <v>32</v>
      </c>
      <c r="D46" s="182">
        <v>52000</v>
      </c>
    </row>
    <row r="47" spans="1:5" x14ac:dyDescent="0.35">
      <c r="A47" s="31" t="s">
        <v>26</v>
      </c>
      <c r="B47" s="32" t="s">
        <v>7</v>
      </c>
      <c r="C47" s="33" t="s">
        <v>27</v>
      </c>
      <c r="D47" s="180">
        <v>115200</v>
      </c>
    </row>
    <row r="48" spans="1:5" x14ac:dyDescent="0.35">
      <c r="A48" s="22" t="s">
        <v>19</v>
      </c>
      <c r="B48" s="23" t="s">
        <v>20</v>
      </c>
      <c r="C48" s="24" t="s">
        <v>21</v>
      </c>
      <c r="D48" s="177">
        <v>37148</v>
      </c>
    </row>
    <row r="49" spans="1:5" x14ac:dyDescent="0.35">
      <c r="A49" s="25" t="s">
        <v>22</v>
      </c>
      <c r="B49" s="26" t="s">
        <v>20</v>
      </c>
      <c r="C49" s="27" t="s">
        <v>23</v>
      </c>
      <c r="D49" s="178">
        <v>301890</v>
      </c>
    </row>
    <row r="50" spans="1:5" x14ac:dyDescent="0.35">
      <c r="A50" s="28" t="s">
        <v>24</v>
      </c>
      <c r="B50" s="29" t="s">
        <v>20</v>
      </c>
      <c r="C50" s="30" t="s">
        <v>25</v>
      </c>
      <c r="D50" s="179">
        <v>100000</v>
      </c>
    </row>
    <row r="51" spans="1:5" x14ac:dyDescent="0.35">
      <c r="A51" s="19" t="s">
        <v>17</v>
      </c>
      <c r="B51" s="20" t="s">
        <v>1</v>
      </c>
      <c r="C51" s="21" t="s">
        <v>18</v>
      </c>
      <c r="D51" s="176">
        <v>48490</v>
      </c>
      <c r="E51" s="226">
        <f>SUM($D$2:D51)</f>
        <v>-3953929</v>
      </c>
    </row>
  </sheetData>
  <sortState xmlns:xlrd2="http://schemas.microsoft.com/office/spreadsheetml/2017/richdata2" ref="A6:D51">
    <sortCondition ref="B6:B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DOLARES</vt:lpstr>
      <vt:lpstr>PESOS</vt:lpstr>
    </vt:vector>
  </TitlesOfParts>
  <Company>Paradigma S.A.S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Archivo Excel</dc:title>
  <dc:subject>ParadocCommonDocument.Excel</dc:subject>
  <dc:creator>ParadocXlsBuiderV2</dc:creator>
  <cp:lastModifiedBy>Sergio Lalinde</cp:lastModifiedBy>
  <dcterms:created xsi:type="dcterms:W3CDTF">2024-12-05T12:09:46Z</dcterms:created>
  <dcterms:modified xsi:type="dcterms:W3CDTF">2024-12-05T16:32:19Z</dcterms:modified>
</cp:coreProperties>
</file>