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59" documentId="11_E70E853312A1823868C0127548412C58810AA213" xr6:coauthVersionLast="47" xr6:coauthVersionMax="47" xr10:uidLastSave="{C3F1AC11-F79C-4B86-8EBC-B7A78611F5B2}"/>
  <bookViews>
    <workbookView xWindow="18980" yWindow="0" windowWidth="10100" windowHeight="20970" xr2:uid="{00000000-000D-0000-FFFF-FFFF00000000}"/>
  </bookViews>
  <sheets>
    <sheet name="Extracto" sheetId="1" r:id="rId1"/>
  </sheets>
  <definedNames>
    <definedName name="_xlnm._FilterDatabase" localSheetId="0" hidden="1">Extracto!$A$1:$C$88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49" i="1"/>
  <c r="D24" i="1" l="1"/>
  <c r="D89" i="1"/>
</calcChain>
</file>

<file path=xl/sharedStrings.xml><?xml version="1.0" encoding="utf-8"?>
<sst xmlns="http://schemas.openxmlformats.org/spreadsheetml/2006/main" count="179" uniqueCount="48">
  <si>
    <t>FECHA</t>
  </si>
  <si>
    <t>DESCRIPCIÓN</t>
  </si>
  <si>
    <t>1/06</t>
  </si>
  <si>
    <t>TRANSFERENCIA CTA SUC VIRTUAL</t>
  </si>
  <si>
    <t>ABONO INTERESES AHORROS</t>
  </si>
  <si>
    <t>4/06</t>
  </si>
  <si>
    <t>PAGO DE PROV F PENS PROTECCI</t>
  </si>
  <si>
    <t>5/06</t>
  </si>
  <si>
    <t>PAGO INTERBANC INVERSIONES VAN</t>
  </si>
  <si>
    <t>PAGO QR SI TU BOQUITA FUERA</t>
  </si>
  <si>
    <t>TRANSFERENCIA A NEQUI</t>
  </si>
  <si>
    <t>6/06</t>
  </si>
  <si>
    <t>TRASLADO VIRTUAL OTROS BANCOS</t>
  </si>
  <si>
    <t>AJUSTE INTERES AHORROS DB</t>
  </si>
  <si>
    <t>COMISION TRASLADO OTROS BANCOS</t>
  </si>
  <si>
    <t>IVA COMIS TRASLADO OTROS BCOS</t>
  </si>
  <si>
    <t>7/06</t>
  </si>
  <si>
    <t>PAGO PSE Corantioquia</t>
  </si>
  <si>
    <t>8/06</t>
  </si>
  <si>
    <t>10/06</t>
  </si>
  <si>
    <t>12/06</t>
  </si>
  <si>
    <t>13/06</t>
  </si>
  <si>
    <t>14/06</t>
  </si>
  <si>
    <t>CUOTA MANEJO TARJETA DEBITO</t>
  </si>
  <si>
    <t>15/06</t>
  </si>
  <si>
    <t>IMPTO GOBIERNO 4X1000</t>
  </si>
  <si>
    <t>16/06</t>
  </si>
  <si>
    <t>17/06</t>
  </si>
  <si>
    <t>TRASLADO DE FONDO DE INVERS</t>
  </si>
  <si>
    <t>18/06</t>
  </si>
  <si>
    <t>PAGO SUC VIRT TC MASTER PESOS</t>
  </si>
  <si>
    <t>PAGO SUC VIRT TC MASTER DOLAR</t>
  </si>
  <si>
    <t>TRANSF QR</t>
  </si>
  <si>
    <t>19/06</t>
  </si>
  <si>
    <t>20/06</t>
  </si>
  <si>
    <t>CONSIGNACION CORRESPONSAL CB</t>
  </si>
  <si>
    <t>22/06</t>
  </si>
  <si>
    <t>23/06</t>
  </si>
  <si>
    <t>24/06</t>
  </si>
  <si>
    <t>25/06</t>
  </si>
  <si>
    <t>26/06</t>
  </si>
  <si>
    <t>PAGO DE NOMI PROTECCION</t>
  </si>
  <si>
    <t>27/06</t>
  </si>
  <si>
    <t>28/06</t>
  </si>
  <si>
    <t>TRASLADO A FONDO DE INVERSION</t>
  </si>
  <si>
    <t>29/06</t>
  </si>
  <si>
    <t>30/06</t>
  </si>
  <si>
    <t>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</si>
</sst>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pane ySplit="1" topLeftCell="A2" activePane="bottomLeft" state="frozen"/>
      <selection pane="bottomLeft" activeCell="A46" sqref="A46:XFD46"/>
    </sheetView>
  </sheetViews>
  <sheetFormatPr baseColWidth="10" defaultRowHeight="14.25" x14ac:dyDescent="0.2"/>
  <cols>
    <col min="1" max="1" width="7.125" bestFit="1" customWidth="1"/>
    <col min="2" max="2" width="36.25" customWidth="1"/>
    <col min="3" max="3" width="13" style="3" bestFit="1" customWidth="1"/>
  </cols>
  <sheetData>
    <row r="1" spans="1:3" s="1" customFormat="1" ht="15" x14ac:dyDescent="0.2">
      <c r="A1" s="1" t="s">
        <v>0</v>
      </c>
      <c r="B1" s="1" t="s">
        <v>1</v>
      </c>
      <c r="C1" s="2" t="s">
        <v>47</v>
      </c>
    </row>
    <row r="2" spans="1:3" x14ac:dyDescent="0.2">
      <c r="A2" t="s">
        <v>2</v>
      </c>
      <c r="B2" t="s">
        <v>3</v>
      </c>
      <c r="C2" s="3">
        <v>-100000</v>
      </c>
    </row>
    <row r="3" spans="1:3" x14ac:dyDescent="0.2">
      <c r="A3" t="s">
        <v>2</v>
      </c>
      <c r="B3" t="s">
        <v>3</v>
      </c>
      <c r="C3" s="3">
        <v>-160000</v>
      </c>
    </row>
    <row r="4" spans="1:3" x14ac:dyDescent="0.2">
      <c r="A4" t="s">
        <v>5</v>
      </c>
      <c r="B4" t="s">
        <v>6</v>
      </c>
      <c r="C4" s="3">
        <v>10000000</v>
      </c>
    </row>
    <row r="5" spans="1:3" x14ac:dyDescent="0.2">
      <c r="A5" t="s">
        <v>7</v>
      </c>
      <c r="B5" t="s">
        <v>8</v>
      </c>
      <c r="C5" s="3">
        <v>5440365</v>
      </c>
    </row>
    <row r="6" spans="1:3" x14ac:dyDescent="0.2">
      <c r="A6" t="s">
        <v>7</v>
      </c>
      <c r="B6" t="s">
        <v>9</v>
      </c>
      <c r="C6" s="3">
        <v>-11500</v>
      </c>
    </row>
    <row r="7" spans="1:3" x14ac:dyDescent="0.2">
      <c r="A7" t="s">
        <v>7</v>
      </c>
      <c r="B7" t="s">
        <v>10</v>
      </c>
      <c r="C7" s="3">
        <v>-300000</v>
      </c>
    </row>
    <row r="8" spans="1:3" x14ac:dyDescent="0.2">
      <c r="A8" t="s">
        <v>7</v>
      </c>
      <c r="B8" t="s">
        <v>3</v>
      </c>
      <c r="C8" s="3">
        <v>-2996000</v>
      </c>
    </row>
    <row r="9" spans="1:3" x14ac:dyDescent="0.2">
      <c r="A9" t="s">
        <v>7</v>
      </c>
      <c r="B9" t="s">
        <v>3</v>
      </c>
      <c r="C9" s="3">
        <v>-240000</v>
      </c>
    </row>
    <row r="10" spans="1:3" x14ac:dyDescent="0.2">
      <c r="A10" t="s">
        <v>7</v>
      </c>
      <c r="B10" t="s">
        <v>3</v>
      </c>
      <c r="C10" s="3">
        <v>-4000</v>
      </c>
    </row>
    <row r="11" spans="1:3" x14ac:dyDescent="0.2">
      <c r="A11" t="s">
        <v>7</v>
      </c>
      <c r="B11" t="s">
        <v>3</v>
      </c>
      <c r="C11" s="3">
        <v>-1000000</v>
      </c>
    </row>
    <row r="12" spans="1:3" x14ac:dyDescent="0.2">
      <c r="A12" t="s">
        <v>7</v>
      </c>
      <c r="B12" t="s">
        <v>3</v>
      </c>
      <c r="C12" s="3">
        <v>-4100000</v>
      </c>
    </row>
    <row r="13" spans="1:3" x14ac:dyDescent="0.2">
      <c r="A13" t="s">
        <v>11</v>
      </c>
      <c r="B13" t="s">
        <v>12</v>
      </c>
      <c r="C13" s="3">
        <v>-1344700</v>
      </c>
    </row>
    <row r="14" spans="1:3" x14ac:dyDescent="0.2">
      <c r="A14" t="s">
        <v>11</v>
      </c>
      <c r="B14" t="s">
        <v>3</v>
      </c>
      <c r="C14" s="3">
        <v>-4200000</v>
      </c>
    </row>
    <row r="15" spans="1:3" x14ac:dyDescent="0.2">
      <c r="A15" t="s">
        <v>11</v>
      </c>
      <c r="B15" t="s">
        <v>3</v>
      </c>
      <c r="C15" s="3">
        <v>-100000</v>
      </c>
    </row>
    <row r="16" spans="1:3" x14ac:dyDescent="0.2">
      <c r="A16" t="s">
        <v>11</v>
      </c>
      <c r="B16" t="s">
        <v>13</v>
      </c>
      <c r="C16" s="3">
        <v>-0.01</v>
      </c>
    </row>
    <row r="17" spans="1:4" x14ac:dyDescent="0.2">
      <c r="A17" t="s">
        <v>11</v>
      </c>
      <c r="B17" t="s">
        <v>14</v>
      </c>
      <c r="C17" s="3">
        <v>-7190</v>
      </c>
    </row>
    <row r="18" spans="1:4" x14ac:dyDescent="0.2">
      <c r="A18" t="s">
        <v>11</v>
      </c>
      <c r="B18" t="s">
        <v>15</v>
      </c>
      <c r="C18" s="3">
        <v>-1366.1</v>
      </c>
    </row>
    <row r="19" spans="1:4" x14ac:dyDescent="0.2">
      <c r="A19" t="s">
        <v>16</v>
      </c>
      <c r="B19" t="s">
        <v>10</v>
      </c>
      <c r="C19" s="3">
        <v>-95000</v>
      </c>
    </row>
    <row r="20" spans="1:4" x14ac:dyDescent="0.2">
      <c r="A20" t="s">
        <v>16</v>
      </c>
      <c r="B20" t="s">
        <v>17</v>
      </c>
      <c r="C20" s="3">
        <v>-138666</v>
      </c>
    </row>
    <row r="21" spans="1:4" x14ac:dyDescent="0.2">
      <c r="A21" t="s">
        <v>16</v>
      </c>
      <c r="B21" t="s">
        <v>3</v>
      </c>
      <c r="C21" s="3">
        <v>-358000</v>
      </c>
    </row>
    <row r="22" spans="1:4" x14ac:dyDescent="0.2">
      <c r="A22" t="s">
        <v>18</v>
      </c>
      <c r="B22" t="s">
        <v>10</v>
      </c>
      <c r="C22" s="3">
        <v>-89000</v>
      </c>
    </row>
    <row r="23" spans="1:4" x14ac:dyDescent="0.2">
      <c r="A23" t="s">
        <v>18</v>
      </c>
      <c r="B23" t="s">
        <v>3</v>
      </c>
      <c r="C23" s="3">
        <v>-41000</v>
      </c>
    </row>
    <row r="24" spans="1:4" x14ac:dyDescent="0.2">
      <c r="A24" t="s">
        <v>19</v>
      </c>
      <c r="B24" t="s">
        <v>3</v>
      </c>
      <c r="C24" s="3">
        <v>-100000</v>
      </c>
      <c r="D24" s="3">
        <f>SUM($C$2:C24)</f>
        <v>53942.890000000014</v>
      </c>
    </row>
    <row r="25" spans="1:4" x14ac:dyDescent="0.2">
      <c r="A25" t="s">
        <v>20</v>
      </c>
      <c r="B25" t="s">
        <v>10</v>
      </c>
      <c r="C25" s="3">
        <v>-40000</v>
      </c>
    </row>
    <row r="26" spans="1:4" x14ac:dyDescent="0.2">
      <c r="A26" t="s">
        <v>21</v>
      </c>
      <c r="B26" t="s">
        <v>3</v>
      </c>
      <c r="C26" s="3">
        <v>-290000</v>
      </c>
    </row>
    <row r="27" spans="1:4" x14ac:dyDescent="0.2">
      <c r="A27" t="s">
        <v>21</v>
      </c>
      <c r="B27" t="s">
        <v>3</v>
      </c>
      <c r="C27" s="3">
        <v>-210000</v>
      </c>
    </row>
    <row r="28" spans="1:4" x14ac:dyDescent="0.2">
      <c r="A28" t="s">
        <v>21</v>
      </c>
      <c r="B28" t="s">
        <v>3</v>
      </c>
      <c r="C28" s="3">
        <v>-200000</v>
      </c>
    </row>
    <row r="29" spans="1:4" x14ac:dyDescent="0.2">
      <c r="A29" t="s">
        <v>22</v>
      </c>
      <c r="B29" t="s">
        <v>10</v>
      </c>
      <c r="C29" s="3">
        <v>-95000</v>
      </c>
    </row>
    <row r="30" spans="1:4" x14ac:dyDescent="0.2">
      <c r="A30" t="s">
        <v>22</v>
      </c>
      <c r="B30" t="s">
        <v>23</v>
      </c>
      <c r="C30" s="3">
        <v>-16990</v>
      </c>
    </row>
    <row r="31" spans="1:4" x14ac:dyDescent="0.2">
      <c r="A31" t="s">
        <v>24</v>
      </c>
      <c r="B31" t="s">
        <v>3</v>
      </c>
      <c r="C31" s="3">
        <v>-600000</v>
      </c>
    </row>
    <row r="32" spans="1:4" x14ac:dyDescent="0.2">
      <c r="A32" t="s">
        <v>26</v>
      </c>
      <c r="B32" t="s">
        <v>3</v>
      </c>
      <c r="C32" s="3">
        <v>1000000</v>
      </c>
    </row>
    <row r="33" spans="1:4" x14ac:dyDescent="0.2">
      <c r="A33" t="s">
        <v>26</v>
      </c>
      <c r="B33" t="s">
        <v>3</v>
      </c>
      <c r="C33" s="3">
        <v>-240000</v>
      </c>
    </row>
    <row r="34" spans="1:4" x14ac:dyDescent="0.2">
      <c r="A34" t="s">
        <v>26</v>
      </c>
      <c r="B34" t="s">
        <v>3</v>
      </c>
      <c r="C34" s="3">
        <v>-731000</v>
      </c>
      <c r="D34" s="3">
        <f>SUM($C$2:C34)</f>
        <v>-1369047.1099999999</v>
      </c>
    </row>
    <row r="35" spans="1:4" x14ac:dyDescent="0.2">
      <c r="A35" t="s">
        <v>27</v>
      </c>
      <c r="B35" t="s">
        <v>6</v>
      </c>
      <c r="C35" s="3">
        <v>40000000</v>
      </c>
    </row>
    <row r="36" spans="1:4" x14ac:dyDescent="0.2">
      <c r="A36" t="s">
        <v>27</v>
      </c>
      <c r="B36" t="s">
        <v>28</v>
      </c>
      <c r="C36" s="3">
        <v>2000000</v>
      </c>
    </row>
    <row r="37" spans="1:4" x14ac:dyDescent="0.2">
      <c r="A37" t="s">
        <v>27</v>
      </c>
      <c r="B37" t="s">
        <v>3</v>
      </c>
      <c r="C37" s="3">
        <v>1030000</v>
      </c>
    </row>
    <row r="38" spans="1:4" x14ac:dyDescent="0.2">
      <c r="A38" t="s">
        <v>29</v>
      </c>
      <c r="B38" t="s">
        <v>3</v>
      </c>
      <c r="C38" s="3">
        <v>50000</v>
      </c>
    </row>
    <row r="39" spans="1:4" x14ac:dyDescent="0.2">
      <c r="A39" t="s">
        <v>29</v>
      </c>
      <c r="B39" t="s">
        <v>30</v>
      </c>
      <c r="C39" s="3">
        <v>-40725322</v>
      </c>
    </row>
    <row r="40" spans="1:4" x14ac:dyDescent="0.2">
      <c r="A40" t="s">
        <v>29</v>
      </c>
      <c r="B40" t="s">
        <v>31</v>
      </c>
      <c r="C40" s="3">
        <v>-53880.19</v>
      </c>
    </row>
    <row r="41" spans="1:4" x14ac:dyDescent="0.2">
      <c r="A41" t="s">
        <v>29</v>
      </c>
      <c r="B41" t="s">
        <v>32</v>
      </c>
      <c r="C41" s="3">
        <v>-5000</v>
      </c>
    </row>
    <row r="42" spans="1:4" x14ac:dyDescent="0.2">
      <c r="A42" t="s">
        <v>29</v>
      </c>
      <c r="B42" t="s">
        <v>3</v>
      </c>
      <c r="C42" s="3">
        <v>-2320000</v>
      </c>
    </row>
    <row r="43" spans="1:4" x14ac:dyDescent="0.2">
      <c r="A43" t="s">
        <v>29</v>
      </c>
      <c r="B43" t="s">
        <v>3</v>
      </c>
      <c r="C43" s="3">
        <v>-40000</v>
      </c>
    </row>
    <row r="44" spans="1:4" x14ac:dyDescent="0.2">
      <c r="A44" t="s">
        <v>33</v>
      </c>
      <c r="B44" t="s">
        <v>28</v>
      </c>
      <c r="C44" s="3">
        <v>2000000</v>
      </c>
    </row>
    <row r="45" spans="1:4" x14ac:dyDescent="0.2">
      <c r="A45" t="s">
        <v>33</v>
      </c>
      <c r="B45" t="s">
        <v>10</v>
      </c>
      <c r="C45" s="3">
        <v>-50000</v>
      </c>
    </row>
    <row r="46" spans="1:4" x14ac:dyDescent="0.2">
      <c r="A46" t="s">
        <v>33</v>
      </c>
      <c r="B46" t="s">
        <v>3</v>
      </c>
      <c r="C46" s="3">
        <v>-335000</v>
      </c>
    </row>
    <row r="47" spans="1:4" x14ac:dyDescent="0.2">
      <c r="A47" t="s">
        <v>33</v>
      </c>
      <c r="B47" t="s">
        <v>3</v>
      </c>
      <c r="C47" s="3">
        <v>-335000</v>
      </c>
    </row>
    <row r="48" spans="1:4" x14ac:dyDescent="0.2">
      <c r="A48" t="s">
        <v>33</v>
      </c>
      <c r="B48" t="s">
        <v>3</v>
      </c>
      <c r="C48" s="3">
        <v>-90000</v>
      </c>
    </row>
    <row r="49" spans="1:4" x14ac:dyDescent="0.2">
      <c r="A49" t="s">
        <v>33</v>
      </c>
      <c r="B49" t="s">
        <v>3</v>
      </c>
      <c r="C49" s="3">
        <v>-50000</v>
      </c>
      <c r="D49" s="3">
        <f>SUM($C$2:C49)</f>
        <v>-293249.29999999935</v>
      </c>
    </row>
    <row r="50" spans="1:4" x14ac:dyDescent="0.2">
      <c r="A50" t="s">
        <v>34</v>
      </c>
      <c r="B50" t="s">
        <v>35</v>
      </c>
      <c r="C50" s="3">
        <v>360000</v>
      </c>
      <c r="D50" s="3"/>
    </row>
    <row r="51" spans="1:4" x14ac:dyDescent="0.2">
      <c r="A51" t="s">
        <v>34</v>
      </c>
      <c r="B51" t="s">
        <v>28</v>
      </c>
      <c r="C51" s="3">
        <v>2000000</v>
      </c>
    </row>
    <row r="52" spans="1:4" x14ac:dyDescent="0.2">
      <c r="A52" t="s">
        <v>34</v>
      </c>
      <c r="B52" t="s">
        <v>10</v>
      </c>
      <c r="C52" s="3">
        <v>-190000</v>
      </c>
    </row>
    <row r="53" spans="1:4" x14ac:dyDescent="0.2">
      <c r="A53" t="s">
        <v>34</v>
      </c>
      <c r="B53" t="s">
        <v>32</v>
      </c>
      <c r="C53" s="3">
        <v>-440000</v>
      </c>
    </row>
    <row r="54" spans="1:4" x14ac:dyDescent="0.2">
      <c r="A54" t="s">
        <v>34</v>
      </c>
      <c r="B54" t="s">
        <v>3</v>
      </c>
      <c r="C54" s="3">
        <v>-17500</v>
      </c>
    </row>
    <row r="55" spans="1:4" x14ac:dyDescent="0.2">
      <c r="A55" t="s">
        <v>34</v>
      </c>
      <c r="B55" t="s">
        <v>3</v>
      </c>
      <c r="C55" s="3">
        <v>-400000</v>
      </c>
    </row>
    <row r="56" spans="1:4" x14ac:dyDescent="0.2">
      <c r="A56" t="s">
        <v>34</v>
      </c>
      <c r="B56" t="s">
        <v>3</v>
      </c>
      <c r="C56" s="3">
        <v>-346000</v>
      </c>
    </row>
    <row r="57" spans="1:4" x14ac:dyDescent="0.2">
      <c r="A57" t="s">
        <v>34</v>
      </c>
      <c r="B57" t="s">
        <v>3</v>
      </c>
      <c r="C57" s="3">
        <v>-1200000</v>
      </c>
    </row>
    <row r="58" spans="1:4" x14ac:dyDescent="0.2">
      <c r="A58" t="s">
        <v>36</v>
      </c>
      <c r="B58" t="s">
        <v>10</v>
      </c>
      <c r="C58" s="3">
        <v>-95000</v>
      </c>
    </row>
    <row r="59" spans="1:4" x14ac:dyDescent="0.2">
      <c r="A59" t="s">
        <v>36</v>
      </c>
      <c r="B59" t="s">
        <v>32</v>
      </c>
      <c r="C59" s="3">
        <v>-20000</v>
      </c>
    </row>
    <row r="60" spans="1:4" x14ac:dyDescent="0.2">
      <c r="A60" t="s">
        <v>36</v>
      </c>
      <c r="B60" t="s">
        <v>3</v>
      </c>
      <c r="C60" s="3">
        <v>-200000</v>
      </c>
    </row>
    <row r="61" spans="1:4" x14ac:dyDescent="0.2">
      <c r="A61" t="s">
        <v>37</v>
      </c>
      <c r="B61" t="s">
        <v>10</v>
      </c>
      <c r="C61" s="3">
        <v>-250000</v>
      </c>
    </row>
    <row r="62" spans="1:4" x14ac:dyDescent="0.2">
      <c r="A62" t="s">
        <v>38</v>
      </c>
      <c r="B62" t="s">
        <v>6</v>
      </c>
      <c r="C62" s="3">
        <v>5000000</v>
      </c>
    </row>
    <row r="63" spans="1:4" x14ac:dyDescent="0.2">
      <c r="A63" t="s">
        <v>38</v>
      </c>
      <c r="B63" t="s">
        <v>3</v>
      </c>
      <c r="C63" s="3">
        <v>-2800000</v>
      </c>
    </row>
    <row r="64" spans="1:4" x14ac:dyDescent="0.2">
      <c r="A64" t="s">
        <v>38</v>
      </c>
      <c r="B64" t="s">
        <v>3</v>
      </c>
      <c r="C64" s="3">
        <v>-70000</v>
      </c>
    </row>
    <row r="65" spans="1:3" x14ac:dyDescent="0.2">
      <c r="A65" t="s">
        <v>39</v>
      </c>
      <c r="B65" t="s">
        <v>30</v>
      </c>
      <c r="C65" s="3">
        <v>-828284</v>
      </c>
    </row>
    <row r="66" spans="1:3" x14ac:dyDescent="0.2">
      <c r="A66" t="s">
        <v>39</v>
      </c>
      <c r="B66" t="s">
        <v>31</v>
      </c>
      <c r="C66" s="3">
        <v>-73878.84</v>
      </c>
    </row>
    <row r="67" spans="1:3" x14ac:dyDescent="0.2">
      <c r="A67" t="s">
        <v>39</v>
      </c>
      <c r="B67" t="s">
        <v>3</v>
      </c>
      <c r="C67" s="3">
        <v>-290000</v>
      </c>
    </row>
    <row r="68" spans="1:3" x14ac:dyDescent="0.2">
      <c r="A68" t="s">
        <v>39</v>
      </c>
      <c r="B68" t="s">
        <v>3</v>
      </c>
      <c r="C68" s="3">
        <v>-240000</v>
      </c>
    </row>
    <row r="69" spans="1:3" x14ac:dyDescent="0.2">
      <c r="A69" t="s">
        <v>39</v>
      </c>
      <c r="B69" t="s">
        <v>3</v>
      </c>
      <c r="C69" s="3">
        <v>-195300</v>
      </c>
    </row>
    <row r="70" spans="1:3" x14ac:dyDescent="0.2">
      <c r="A70" t="s">
        <v>40</v>
      </c>
      <c r="B70" t="s">
        <v>41</v>
      </c>
      <c r="C70" s="3">
        <v>5478230</v>
      </c>
    </row>
    <row r="71" spans="1:3" x14ac:dyDescent="0.2">
      <c r="A71" t="s">
        <v>40</v>
      </c>
      <c r="B71" t="s">
        <v>3</v>
      </c>
      <c r="C71" s="3">
        <v>-210000</v>
      </c>
    </row>
    <row r="72" spans="1:3" x14ac:dyDescent="0.2">
      <c r="A72" t="s">
        <v>40</v>
      </c>
      <c r="B72" t="s">
        <v>3</v>
      </c>
      <c r="C72" s="3">
        <v>-1788100</v>
      </c>
    </row>
    <row r="73" spans="1:3" x14ac:dyDescent="0.2">
      <c r="A73" t="s">
        <v>40</v>
      </c>
      <c r="B73" t="s">
        <v>3</v>
      </c>
      <c r="C73" s="3">
        <v>-200000</v>
      </c>
    </row>
    <row r="74" spans="1:3" x14ac:dyDescent="0.2">
      <c r="A74" t="s">
        <v>40</v>
      </c>
      <c r="B74" t="s">
        <v>3</v>
      </c>
      <c r="C74" s="3">
        <v>-354000</v>
      </c>
    </row>
    <row r="75" spans="1:3" x14ac:dyDescent="0.2">
      <c r="A75" t="s">
        <v>40</v>
      </c>
      <c r="B75" t="s">
        <v>3</v>
      </c>
      <c r="C75" s="3">
        <v>-1000000</v>
      </c>
    </row>
    <row r="76" spans="1:3" x14ac:dyDescent="0.2">
      <c r="A76" t="s">
        <v>42</v>
      </c>
      <c r="B76" t="s">
        <v>8</v>
      </c>
      <c r="C76" s="3">
        <v>5440365</v>
      </c>
    </row>
    <row r="77" spans="1:3" x14ac:dyDescent="0.2">
      <c r="A77" t="s">
        <v>43</v>
      </c>
      <c r="B77" t="s">
        <v>6</v>
      </c>
      <c r="C77" s="3">
        <v>5000000</v>
      </c>
    </row>
    <row r="78" spans="1:3" x14ac:dyDescent="0.2">
      <c r="A78" t="s">
        <v>43</v>
      </c>
      <c r="B78" t="s">
        <v>44</v>
      </c>
      <c r="C78" s="3">
        <v>-6000000</v>
      </c>
    </row>
    <row r="79" spans="1:3" x14ac:dyDescent="0.2">
      <c r="A79" t="s">
        <v>43</v>
      </c>
      <c r="B79" t="s">
        <v>10</v>
      </c>
      <c r="C79" s="3">
        <v>-190000</v>
      </c>
    </row>
    <row r="80" spans="1:3" x14ac:dyDescent="0.2">
      <c r="A80" t="s">
        <v>43</v>
      </c>
      <c r="B80" t="s">
        <v>3</v>
      </c>
      <c r="C80" s="3">
        <v>-200000</v>
      </c>
    </row>
    <row r="81" spans="1:4" x14ac:dyDescent="0.2">
      <c r="A81" t="s">
        <v>43</v>
      </c>
      <c r="B81" t="s">
        <v>3</v>
      </c>
      <c r="C81" s="3">
        <v>-700000</v>
      </c>
    </row>
    <row r="82" spans="1:4" x14ac:dyDescent="0.2">
      <c r="A82" t="s">
        <v>43</v>
      </c>
      <c r="B82" t="s">
        <v>3</v>
      </c>
      <c r="C82" s="3">
        <v>-731000</v>
      </c>
    </row>
    <row r="83" spans="1:4" x14ac:dyDescent="0.2">
      <c r="A83" t="s">
        <v>45</v>
      </c>
      <c r="B83" t="s">
        <v>3</v>
      </c>
      <c r="C83" s="3">
        <v>-1230000</v>
      </c>
    </row>
    <row r="84" spans="1:4" x14ac:dyDescent="0.2">
      <c r="A84" t="s">
        <v>45</v>
      </c>
      <c r="B84" t="s">
        <v>3</v>
      </c>
      <c r="C84" s="3">
        <v>-120000</v>
      </c>
    </row>
    <row r="85" spans="1:4" x14ac:dyDescent="0.2">
      <c r="A85" t="s">
        <v>45</v>
      </c>
      <c r="B85" t="s">
        <v>3</v>
      </c>
      <c r="C85" s="3">
        <v>-25500</v>
      </c>
    </row>
    <row r="86" spans="1:4" x14ac:dyDescent="0.2">
      <c r="A86" t="s">
        <v>45</v>
      </c>
      <c r="B86" t="s">
        <v>3</v>
      </c>
      <c r="C86" s="3">
        <v>-454000</v>
      </c>
    </row>
    <row r="87" spans="1:4" x14ac:dyDescent="0.2">
      <c r="A87" t="s">
        <v>45</v>
      </c>
      <c r="B87" t="s">
        <v>3</v>
      </c>
      <c r="C87" s="3">
        <v>-572118</v>
      </c>
    </row>
    <row r="88" spans="1:4" x14ac:dyDescent="0.2">
      <c r="A88" t="s">
        <v>46</v>
      </c>
      <c r="B88" t="s">
        <v>4</v>
      </c>
      <c r="C88" s="3">
        <v>7.56</v>
      </c>
    </row>
    <row r="89" spans="1:4" x14ac:dyDescent="0.2">
      <c r="A89" t="s">
        <v>46</v>
      </c>
      <c r="B89" t="s">
        <v>25</v>
      </c>
      <c r="C89" s="3">
        <v>-169501</v>
      </c>
      <c r="D89" s="3">
        <f>SUM($C$2:C89)</f>
        <v>1385171.4199999995</v>
      </c>
    </row>
  </sheetData>
  <autoFilter ref="A1:C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2024-07-05T18:43:43Z</dcterms:modified>
</cp:coreProperties>
</file>