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baa82c0f0f3862/0. SLB/Bancolombia/Extractos/2024/"/>
    </mc:Choice>
  </mc:AlternateContent>
  <xr:revisionPtr revIDLastSave="60" documentId="11_7E148222AAE0024230830CDC88012EE80006D039" xr6:coauthVersionLast="47" xr6:coauthVersionMax="47" xr10:uidLastSave="{43DA8709-5143-4067-A25E-63F92DFB8BDF}"/>
  <bookViews>
    <workbookView xWindow="19120" yWindow="0" windowWidth="19370" windowHeight="20970" xr2:uid="{00000000-000D-0000-FFFF-FFFF00000000}"/>
  </bookViews>
  <sheets>
    <sheet name="Extracto" sheetId="1" r:id="rId1"/>
  </sheets>
  <definedNames>
    <definedName name="_xlnm._FilterDatabase" localSheetId="0" hidden="1">Extracto!$A$1:$E$114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11" i="1" l="1"/>
  <c r="D113" i="1"/>
  <c r="E114" i="1" s="1"/>
  <c r="E112" i="1"/>
  <c r="E74" i="1"/>
  <c r="D63" i="1"/>
  <c r="D18" i="1"/>
  <c r="D34" i="1"/>
  <c r="D75" i="1"/>
</calcChain>
</file>

<file path=xl/sharedStrings.xml><?xml version="1.0" encoding="utf-8"?>
<sst xmlns="http://schemas.openxmlformats.org/spreadsheetml/2006/main" count="442" uniqueCount="52">
  <si>
    <t/>
  </si>
  <si>
    <t>FECHA</t>
  </si>
  <si>
    <t>DESCRIPCIÓN</t>
  </si>
  <si>
    <t>VALOR</t>
  </si>
  <si>
    <t>1/07</t>
  </si>
  <si>
    <t>ABONO INTERESES AHORROS</t>
  </si>
  <si>
    <t>PAGO QR SI TU BOQUITA FUERA</t>
  </si>
  <si>
    <t>2/07</t>
  </si>
  <si>
    <t>PAGO DE PROV F PENS PROTECCI</t>
  </si>
  <si>
    <t>TRANSFERENCIA A NEQUI</t>
  </si>
  <si>
    <t>TRANSFERENCIA CTA SUC VIRTUAL</t>
  </si>
  <si>
    <t>3/07</t>
  </si>
  <si>
    <t>TRASLADO DE FONDO DE INVERS</t>
  </si>
  <si>
    <t>4/07</t>
  </si>
  <si>
    <t>IMPTO GOBIERNO 4X1000</t>
  </si>
  <si>
    <t>TRANSF QR</t>
  </si>
  <si>
    <t>5/07</t>
  </si>
  <si>
    <t>PAGO INTERBANC INVERSIONES VAN</t>
  </si>
  <si>
    <t>PAGO PSE ENLACE OPERATIVO S.A</t>
  </si>
  <si>
    <t>PAGO PSE EPAYCO.COM S.A.S</t>
  </si>
  <si>
    <t>6/07</t>
  </si>
  <si>
    <t>9/07</t>
  </si>
  <si>
    <t>10/07</t>
  </si>
  <si>
    <t>11/07</t>
  </si>
  <si>
    <t>RETIRO CAJERO  RIONEGRO PLAZA</t>
  </si>
  <si>
    <t>12/07</t>
  </si>
  <si>
    <t>PAGO APP TIGO SERVICIOS HOGAR</t>
  </si>
  <si>
    <t>CUOTA MANEJO TARJETA DEBITO</t>
  </si>
  <si>
    <t>13/07</t>
  </si>
  <si>
    <t>15/07</t>
  </si>
  <si>
    <t>PAGO SUC VIRT TC MASTER PESOS</t>
  </si>
  <si>
    <t>PAGO SUC VIRT TC MASTER DOLAR</t>
  </si>
  <si>
    <t>16/07</t>
  </si>
  <si>
    <t>18/07</t>
  </si>
  <si>
    <t>19/07</t>
  </si>
  <si>
    <t>20/07</t>
  </si>
  <si>
    <t>21/07</t>
  </si>
  <si>
    <t>22/07</t>
  </si>
  <si>
    <t>23/07</t>
  </si>
  <si>
    <t>PAGO QR Cafe Victoria</t>
  </si>
  <si>
    <t>PAGO QR Playa blanca</t>
  </si>
  <si>
    <t>24/07</t>
  </si>
  <si>
    <t>26/07</t>
  </si>
  <si>
    <t>27/07</t>
  </si>
  <si>
    <t>PAGO QR AGROBOLIVAR LA CEJA</t>
  </si>
  <si>
    <t>PAGO QR M Y A MADERAS Y CONS</t>
  </si>
  <si>
    <t>PAGO QR LA TIENDA DEL EBANIS</t>
  </si>
  <si>
    <t>28/07</t>
  </si>
  <si>
    <t>29/07</t>
  </si>
  <si>
    <t>PAGO DE NOMI PROTECCION</t>
  </si>
  <si>
    <t>30/07</t>
  </si>
  <si>
    <t>31/07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</si>
</sst>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_ ;[Red]\-#,##0.00\ "/>
  </numFmts>
  <fonts count="18" x14ac:knownFonts="1">
    <font>
      <sz val="12"/>
      <color theme="1"/>
      <name val="Arial"/>
      <family val="2"/>
    </font>
    <font>
      <sz val="12"/>
      <color theme="1"/>
      <name val="Arial"/>
      <family val="2"/>
    </font>
    <font>
      <sz val="18"/>
      <color theme="3"/>
      <name val="Aptos Display"/>
      <family val="2"/>
      <scheme val="major"/>
    </font>
    <font>
      <b/>
      <sz val="15"/>
      <color theme="3"/>
      <name val="Arial"/>
      <family val="2"/>
    </font>
    <font>
      <b/>
      <sz val="13"/>
      <color theme="3"/>
      <name val="Arial"/>
      <family val="2"/>
    </font>
    <font>
      <b/>
      <sz val="11"/>
      <color theme="3"/>
      <name val="Arial"/>
      <family val="2"/>
    </font>
    <font>
      <sz val="12"/>
      <color rgb="FF006100"/>
      <name val="Arial"/>
      <family val="2"/>
    </font>
    <font>
      <sz val="12"/>
      <color rgb="FF9C0006"/>
      <name val="Arial"/>
      <family val="2"/>
    </font>
    <font>
      <sz val="12"/>
      <color rgb="FF9C5700"/>
      <name val="Arial"/>
      <family val="2"/>
    </font>
    <font>
      <sz val="12"/>
      <color rgb="FF3F3F76"/>
      <name val="Arial"/>
      <family val="2"/>
    </font>
    <font>
      <b/>
      <sz val="12"/>
      <color rgb="FF3F3F3F"/>
      <name val="Arial"/>
      <family val="2"/>
    </font>
    <font>
      <b/>
      <sz val="12"/>
      <color rgb="FFFA7D00"/>
      <name val="Arial"/>
      <family val="2"/>
    </font>
    <font>
      <sz val="12"/>
      <color rgb="FFFA7D00"/>
      <name val="Arial"/>
      <family val="2"/>
    </font>
    <font>
      <b/>
      <sz val="12"/>
      <color theme="0"/>
      <name val="Arial"/>
      <family val="2"/>
    </font>
    <font>
      <sz val="12"/>
      <color rgb="FFFF0000"/>
      <name val="Arial"/>
      <family val="2"/>
    </font>
    <font>
      <i/>
      <sz val="12"/>
      <color rgb="FF7F7F7F"/>
      <name val="Arial"/>
      <family val="2"/>
    </font>
    <font>
      <b/>
      <sz val="12"/>
      <color theme="1"/>
      <name val="Arial"/>
      <family val="2"/>
    </font>
    <font>
      <sz val="12"/>
      <color theme="0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6" fillId="0" borderId="0" xfId="0" applyFont="1" applyAlignment="1">
      <alignment horizontal="center" vertical="center"/>
    </xf>
    <xf numFmtId="164" fontId="16" fillId="0" borderId="0" xfId="0" applyNumberFormat="1" applyFont="1" applyAlignment="1">
      <alignment horizontal="center" vertical="center"/>
    </xf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4"/>
  <sheetViews>
    <sheetView tabSelected="1" workbookViewId="0">
      <pane ySplit="1" topLeftCell="A98" activePane="bottomLeft" state="frozen"/>
      <selection pane="bottomLeft" activeCell="E113" sqref="E113"/>
    </sheetView>
  </sheetViews>
  <sheetFormatPr defaultRowHeight="15.5" x14ac:dyDescent="0.35"/>
  <cols>
    <col min="1" max="1" width="7.4609375" bestFit="1" customWidth="1"/>
    <col min="2" max="2" width="34.69140625" bestFit="1" customWidth="1"/>
    <col min="3" max="7" width="13.921875" style="3" bestFit="1" customWidth="1"/>
  </cols>
  <sheetData>
    <row r="1" spans="1:7" s="1" customFormat="1" x14ac:dyDescent="0.35">
      <c r="A1" s="1" t="s">
        <v>1</v>
      </c>
      <c r="B1" s="1" t="s">
        <v>2</v>
      </c>
      <c r="C1" s="2" t="s">
        <v>3</v>
      </c>
      <c r="D1" s="2" t="s">
        <v>0</v>
      </c>
      <c r="E1" s="2" t="s">
        <v>0</v>
      </c>
      <c r="F1" s="2"/>
      <c r="G1" s="2"/>
    </row>
    <row r="2" spans="1:7" x14ac:dyDescent="0.35">
      <c r="A2" t="s">
        <v>4</v>
      </c>
      <c r="B2" t="s">
        <v>6</v>
      </c>
      <c r="C2" s="3">
        <v>-8000</v>
      </c>
      <c r="D2" s="3" t="s">
        <v>0</v>
      </c>
      <c r="E2" s="3" t="s">
        <v>0</v>
      </c>
    </row>
    <row r="3" spans="1:7" x14ac:dyDescent="0.35">
      <c r="A3" t="s">
        <v>7</v>
      </c>
      <c r="B3" t="s">
        <v>8</v>
      </c>
      <c r="C3" s="3">
        <v>10000000</v>
      </c>
      <c r="D3" s="3" t="s">
        <v>0</v>
      </c>
      <c r="E3" s="3" t="s">
        <v>0</v>
      </c>
    </row>
    <row r="4" spans="1:7" x14ac:dyDescent="0.35">
      <c r="A4" t="s">
        <v>7</v>
      </c>
      <c r="B4" t="s">
        <v>9</v>
      </c>
      <c r="C4" s="3">
        <v>-110000</v>
      </c>
      <c r="D4" s="3" t="s">
        <v>0</v>
      </c>
      <c r="E4" s="3" t="s">
        <v>0</v>
      </c>
    </row>
    <row r="5" spans="1:7" x14ac:dyDescent="0.35">
      <c r="A5" t="s">
        <v>7</v>
      </c>
      <c r="B5" t="s">
        <v>10</v>
      </c>
      <c r="C5" s="3">
        <v>-6864000</v>
      </c>
      <c r="D5" s="3" t="s">
        <v>0</v>
      </c>
      <c r="E5" s="3" t="s">
        <v>0</v>
      </c>
    </row>
    <row r="6" spans="1:7" x14ac:dyDescent="0.35">
      <c r="A6" t="s">
        <v>7</v>
      </c>
      <c r="B6" t="s">
        <v>10</v>
      </c>
      <c r="C6" s="3">
        <v>-85000</v>
      </c>
      <c r="D6" s="3" t="s">
        <v>0</v>
      </c>
      <c r="E6" s="3" t="s">
        <v>0</v>
      </c>
    </row>
    <row r="7" spans="1:7" x14ac:dyDescent="0.35">
      <c r="A7" t="s">
        <v>7</v>
      </c>
      <c r="B7" t="s">
        <v>10</v>
      </c>
      <c r="C7" s="3">
        <v>-79900</v>
      </c>
      <c r="D7" s="3" t="s">
        <v>0</v>
      </c>
      <c r="E7" s="3" t="s">
        <v>0</v>
      </c>
    </row>
    <row r="8" spans="1:7" x14ac:dyDescent="0.35">
      <c r="A8" t="s">
        <v>7</v>
      </c>
      <c r="B8" t="s">
        <v>10</v>
      </c>
      <c r="C8" s="3">
        <v>-3785000</v>
      </c>
      <c r="D8" s="3" t="s">
        <v>0</v>
      </c>
      <c r="E8" s="3" t="s">
        <v>0</v>
      </c>
    </row>
    <row r="9" spans="1:7" x14ac:dyDescent="0.35">
      <c r="A9" t="s">
        <v>11</v>
      </c>
      <c r="B9" t="s">
        <v>8</v>
      </c>
      <c r="C9" s="3">
        <v>5000000</v>
      </c>
      <c r="D9" s="3" t="s">
        <v>0</v>
      </c>
      <c r="E9" s="3" t="s">
        <v>0</v>
      </c>
    </row>
    <row r="10" spans="1:7" x14ac:dyDescent="0.35">
      <c r="A10" t="s">
        <v>11</v>
      </c>
      <c r="B10" t="s">
        <v>12</v>
      </c>
      <c r="C10" s="3">
        <v>3000000</v>
      </c>
      <c r="D10" s="3" t="s">
        <v>0</v>
      </c>
      <c r="E10" s="3" t="s">
        <v>0</v>
      </c>
    </row>
    <row r="11" spans="1:7" x14ac:dyDescent="0.35">
      <c r="A11" t="s">
        <v>11</v>
      </c>
      <c r="B11" t="s">
        <v>9</v>
      </c>
      <c r="C11" s="3">
        <v>-24400</v>
      </c>
      <c r="D11" s="3" t="s">
        <v>0</v>
      </c>
      <c r="E11" s="3" t="s">
        <v>0</v>
      </c>
    </row>
    <row r="12" spans="1:7" x14ac:dyDescent="0.35">
      <c r="A12" t="s">
        <v>11</v>
      </c>
      <c r="B12" t="s">
        <v>10</v>
      </c>
      <c r="C12" s="3">
        <v>-300000</v>
      </c>
      <c r="D12" s="3" t="s">
        <v>0</v>
      </c>
      <c r="E12" s="3" t="s">
        <v>0</v>
      </c>
    </row>
    <row r="13" spans="1:7" x14ac:dyDescent="0.35">
      <c r="A13" t="s">
        <v>11</v>
      </c>
      <c r="B13" t="s">
        <v>10</v>
      </c>
      <c r="C13" s="3">
        <v>-110000</v>
      </c>
      <c r="D13" s="3" t="s">
        <v>0</v>
      </c>
      <c r="E13" s="3" t="s">
        <v>0</v>
      </c>
    </row>
    <row r="14" spans="1:7" x14ac:dyDescent="0.35">
      <c r="A14" t="s">
        <v>11</v>
      </c>
      <c r="B14" t="s">
        <v>10</v>
      </c>
      <c r="C14" s="3">
        <v>-35000</v>
      </c>
      <c r="D14" s="3" t="s">
        <v>0</v>
      </c>
      <c r="E14" s="3" t="s">
        <v>0</v>
      </c>
    </row>
    <row r="15" spans="1:7" x14ac:dyDescent="0.35">
      <c r="A15" t="s">
        <v>11</v>
      </c>
      <c r="B15" t="s">
        <v>10</v>
      </c>
      <c r="C15" s="3">
        <v>-4600000</v>
      </c>
      <c r="D15" s="3" t="s">
        <v>0</v>
      </c>
      <c r="E15" s="3" t="s">
        <v>0</v>
      </c>
    </row>
    <row r="16" spans="1:7" x14ac:dyDescent="0.35">
      <c r="A16" t="s">
        <v>13</v>
      </c>
      <c r="B16" t="s">
        <v>12</v>
      </c>
      <c r="C16" s="3">
        <v>3000000</v>
      </c>
      <c r="D16" s="3" t="s">
        <v>0</v>
      </c>
      <c r="E16" s="3" t="s">
        <v>0</v>
      </c>
    </row>
    <row r="17" spans="1:5" x14ac:dyDescent="0.35">
      <c r="A17" t="s">
        <v>13</v>
      </c>
      <c r="B17" t="s">
        <v>15</v>
      </c>
      <c r="C17" s="3">
        <v>-22000</v>
      </c>
      <c r="D17" s="3" t="s">
        <v>0</v>
      </c>
      <c r="E17" s="3" t="s">
        <v>0</v>
      </c>
    </row>
    <row r="18" spans="1:5" x14ac:dyDescent="0.35">
      <c r="A18" t="s">
        <v>13</v>
      </c>
      <c r="B18" t="s">
        <v>10</v>
      </c>
      <c r="C18" s="3">
        <v>-5000000</v>
      </c>
      <c r="D18" s="3">
        <f>SUM($C$2:C18)</f>
        <v>-23300</v>
      </c>
      <c r="E18" s="3" t="s">
        <v>0</v>
      </c>
    </row>
    <row r="19" spans="1:5" x14ac:dyDescent="0.35">
      <c r="A19" t="s">
        <v>16</v>
      </c>
      <c r="B19" t="s">
        <v>17</v>
      </c>
      <c r="C19" s="3">
        <v>5440365</v>
      </c>
      <c r="D19" s="3" t="s">
        <v>0</v>
      </c>
      <c r="E19" s="3" t="s">
        <v>0</v>
      </c>
    </row>
    <row r="20" spans="1:5" x14ac:dyDescent="0.35">
      <c r="A20" t="s">
        <v>16</v>
      </c>
      <c r="B20" t="s">
        <v>9</v>
      </c>
      <c r="C20" s="3">
        <v>-160000</v>
      </c>
      <c r="D20" s="3" t="s">
        <v>0</v>
      </c>
      <c r="E20" s="3" t="s">
        <v>0</v>
      </c>
    </row>
    <row r="21" spans="1:5" x14ac:dyDescent="0.35">
      <c r="A21" t="s">
        <v>16</v>
      </c>
      <c r="B21" t="s">
        <v>9</v>
      </c>
      <c r="C21" s="3">
        <v>-95000</v>
      </c>
      <c r="D21" s="3" t="s">
        <v>0</v>
      </c>
      <c r="E21" s="3" t="s">
        <v>0</v>
      </c>
    </row>
    <row r="22" spans="1:5" x14ac:dyDescent="0.35">
      <c r="A22" t="s">
        <v>16</v>
      </c>
      <c r="B22" t="s">
        <v>18</v>
      </c>
      <c r="C22" s="3">
        <v>-255300</v>
      </c>
      <c r="D22" s="3" t="s">
        <v>0</v>
      </c>
      <c r="E22" s="3" t="s">
        <v>0</v>
      </c>
    </row>
    <row r="23" spans="1:5" x14ac:dyDescent="0.35">
      <c r="A23" t="s">
        <v>16</v>
      </c>
      <c r="B23" t="s">
        <v>19</v>
      </c>
      <c r="C23" s="3">
        <v>-57345.26</v>
      </c>
      <c r="D23" s="3" t="s">
        <v>0</v>
      </c>
      <c r="E23" s="3" t="s">
        <v>0</v>
      </c>
    </row>
    <row r="24" spans="1:5" x14ac:dyDescent="0.35">
      <c r="A24" t="s">
        <v>16</v>
      </c>
      <c r="B24" t="s">
        <v>18</v>
      </c>
      <c r="C24" s="3">
        <v>-325600</v>
      </c>
      <c r="D24" s="3" t="s">
        <v>0</v>
      </c>
      <c r="E24" s="3" t="s">
        <v>0</v>
      </c>
    </row>
    <row r="25" spans="1:5" x14ac:dyDescent="0.35">
      <c r="A25" t="s">
        <v>16</v>
      </c>
      <c r="B25" t="s">
        <v>10</v>
      </c>
      <c r="C25" s="3">
        <v>-200000</v>
      </c>
      <c r="D25" s="3" t="s">
        <v>0</v>
      </c>
      <c r="E25" s="3" t="s">
        <v>0</v>
      </c>
    </row>
    <row r="26" spans="1:5" x14ac:dyDescent="0.35">
      <c r="A26" t="s">
        <v>20</v>
      </c>
      <c r="B26" t="s">
        <v>9</v>
      </c>
      <c r="C26" s="3">
        <v>-75000</v>
      </c>
      <c r="D26" s="3" t="s">
        <v>0</v>
      </c>
      <c r="E26" s="3" t="s">
        <v>0</v>
      </c>
    </row>
    <row r="27" spans="1:5" x14ac:dyDescent="0.35">
      <c r="A27" t="s">
        <v>20</v>
      </c>
      <c r="B27" t="s">
        <v>10</v>
      </c>
      <c r="C27" s="3">
        <v>-766000</v>
      </c>
      <c r="D27" s="3" t="s">
        <v>0</v>
      </c>
      <c r="E27" s="3" t="s">
        <v>0</v>
      </c>
    </row>
    <row r="28" spans="1:5" x14ac:dyDescent="0.35">
      <c r="A28" t="s">
        <v>20</v>
      </c>
      <c r="B28" t="s">
        <v>10</v>
      </c>
      <c r="C28" s="3">
        <v>-950000</v>
      </c>
      <c r="D28" s="3" t="s">
        <v>0</v>
      </c>
      <c r="E28" s="3" t="s">
        <v>0</v>
      </c>
    </row>
    <row r="29" spans="1:5" x14ac:dyDescent="0.35">
      <c r="A29" t="s">
        <v>20</v>
      </c>
      <c r="B29" t="s">
        <v>10</v>
      </c>
      <c r="C29" s="3">
        <v>-50000</v>
      </c>
      <c r="D29" s="3" t="s">
        <v>0</v>
      </c>
      <c r="E29" s="3" t="s">
        <v>0</v>
      </c>
    </row>
    <row r="30" spans="1:5" x14ac:dyDescent="0.35">
      <c r="A30" t="s">
        <v>20</v>
      </c>
      <c r="B30" t="s">
        <v>10</v>
      </c>
      <c r="C30" s="3">
        <v>-1000000</v>
      </c>
      <c r="D30" s="3" t="s">
        <v>0</v>
      </c>
      <c r="E30" s="3" t="s">
        <v>0</v>
      </c>
    </row>
    <row r="31" spans="1:5" x14ac:dyDescent="0.35">
      <c r="A31" t="s">
        <v>20</v>
      </c>
      <c r="B31" t="s">
        <v>10</v>
      </c>
      <c r="C31" s="3">
        <v>-1425000</v>
      </c>
      <c r="D31" s="3" t="s">
        <v>0</v>
      </c>
      <c r="E31" s="3" t="s">
        <v>0</v>
      </c>
    </row>
    <row r="32" spans="1:5" x14ac:dyDescent="0.35">
      <c r="A32" t="s">
        <v>21</v>
      </c>
      <c r="B32" t="s">
        <v>9</v>
      </c>
      <c r="C32" s="3">
        <v>-50000</v>
      </c>
      <c r="D32" s="3" t="s">
        <v>0</v>
      </c>
      <c r="E32" s="3" t="s">
        <v>0</v>
      </c>
    </row>
    <row r="33" spans="1:5" x14ac:dyDescent="0.35">
      <c r="A33" t="s">
        <v>22</v>
      </c>
      <c r="B33" t="s">
        <v>10</v>
      </c>
      <c r="C33" s="3">
        <v>335000</v>
      </c>
      <c r="D33" s="3" t="s">
        <v>0</v>
      </c>
      <c r="E33" s="3" t="s">
        <v>0</v>
      </c>
    </row>
    <row r="34" spans="1:5" x14ac:dyDescent="0.35">
      <c r="A34" t="s">
        <v>22</v>
      </c>
      <c r="B34" t="s">
        <v>10</v>
      </c>
      <c r="C34" s="3">
        <v>-105000</v>
      </c>
      <c r="D34" s="3">
        <f>SUM($C$2:C34)</f>
        <v>237819.74000000022</v>
      </c>
    </row>
    <row r="35" spans="1:5" x14ac:dyDescent="0.35">
      <c r="A35" t="s">
        <v>23</v>
      </c>
      <c r="B35" t="s">
        <v>8</v>
      </c>
      <c r="C35" s="3">
        <v>5000000</v>
      </c>
      <c r="D35" s="3" t="s">
        <v>0</v>
      </c>
    </row>
    <row r="36" spans="1:5" x14ac:dyDescent="0.35">
      <c r="A36" t="s">
        <v>23</v>
      </c>
      <c r="B36" t="s">
        <v>24</v>
      </c>
      <c r="C36" s="3">
        <v>-200000</v>
      </c>
      <c r="D36" s="3" t="s">
        <v>0</v>
      </c>
      <c r="E36" s="3" t="s">
        <v>0</v>
      </c>
    </row>
    <row r="37" spans="1:5" x14ac:dyDescent="0.35">
      <c r="A37" t="s">
        <v>23</v>
      </c>
      <c r="B37" t="s">
        <v>10</v>
      </c>
      <c r="C37" s="3">
        <v>-100000</v>
      </c>
      <c r="D37" s="3" t="s">
        <v>0</v>
      </c>
      <c r="E37" s="3" t="s">
        <v>0</v>
      </c>
    </row>
    <row r="38" spans="1:5" x14ac:dyDescent="0.35">
      <c r="A38" t="s">
        <v>23</v>
      </c>
      <c r="B38" t="s">
        <v>10</v>
      </c>
      <c r="C38" s="3">
        <v>-423999</v>
      </c>
      <c r="D38" s="3" t="s">
        <v>0</v>
      </c>
      <c r="E38" s="3" t="s">
        <v>0</v>
      </c>
    </row>
    <row r="39" spans="1:5" x14ac:dyDescent="0.35">
      <c r="A39" t="s">
        <v>23</v>
      </c>
      <c r="B39" t="s">
        <v>10</v>
      </c>
      <c r="C39" s="3">
        <v>-1808000</v>
      </c>
      <c r="D39" s="3" t="s">
        <v>0</v>
      </c>
      <c r="E39" s="3" t="s">
        <v>0</v>
      </c>
    </row>
    <row r="40" spans="1:5" x14ac:dyDescent="0.35">
      <c r="A40" t="s">
        <v>23</v>
      </c>
      <c r="B40" t="s">
        <v>10</v>
      </c>
      <c r="C40" s="3">
        <v>-117300</v>
      </c>
      <c r="D40" s="3" t="s">
        <v>0</v>
      </c>
      <c r="E40" s="3" t="s">
        <v>0</v>
      </c>
    </row>
    <row r="41" spans="1:5" x14ac:dyDescent="0.35">
      <c r="A41" t="s">
        <v>23</v>
      </c>
      <c r="B41" t="s">
        <v>10</v>
      </c>
      <c r="C41" s="3">
        <v>-1200000</v>
      </c>
      <c r="D41" s="3" t="s">
        <v>0</v>
      </c>
      <c r="E41" s="3" t="s">
        <v>0</v>
      </c>
    </row>
    <row r="42" spans="1:5" x14ac:dyDescent="0.35">
      <c r="A42" t="s">
        <v>25</v>
      </c>
      <c r="B42" t="s">
        <v>12</v>
      </c>
      <c r="C42" s="3">
        <v>600000</v>
      </c>
      <c r="D42" s="3" t="s">
        <v>0</v>
      </c>
      <c r="E42" s="3" t="s">
        <v>0</v>
      </c>
    </row>
    <row r="43" spans="1:5" x14ac:dyDescent="0.35">
      <c r="A43" t="s">
        <v>25</v>
      </c>
      <c r="B43" t="s">
        <v>10</v>
      </c>
      <c r="C43" s="3">
        <v>1000000</v>
      </c>
      <c r="D43" s="3" t="s">
        <v>0</v>
      </c>
      <c r="E43" s="3" t="s">
        <v>0</v>
      </c>
    </row>
    <row r="44" spans="1:5" x14ac:dyDescent="0.35">
      <c r="A44" t="s">
        <v>25</v>
      </c>
      <c r="B44" t="s">
        <v>9</v>
      </c>
      <c r="C44" s="3">
        <v>-95000</v>
      </c>
      <c r="D44" s="3" t="s">
        <v>0</v>
      </c>
      <c r="E44" s="3" t="s">
        <v>0</v>
      </c>
    </row>
    <row r="45" spans="1:5" x14ac:dyDescent="0.35">
      <c r="A45" t="s">
        <v>25</v>
      </c>
      <c r="B45" t="s">
        <v>26</v>
      </c>
      <c r="C45" s="3">
        <v>-190431</v>
      </c>
      <c r="D45" s="3" t="s">
        <v>0</v>
      </c>
      <c r="E45" s="3" t="s">
        <v>0</v>
      </c>
    </row>
    <row r="46" spans="1:5" x14ac:dyDescent="0.35">
      <c r="A46" t="s">
        <v>25</v>
      </c>
      <c r="B46" t="s">
        <v>10</v>
      </c>
      <c r="C46" s="3">
        <v>-1036000</v>
      </c>
      <c r="D46" s="3" t="s">
        <v>0</v>
      </c>
      <c r="E46" s="3" t="s">
        <v>0</v>
      </c>
    </row>
    <row r="47" spans="1:5" x14ac:dyDescent="0.35">
      <c r="A47" t="s">
        <v>25</v>
      </c>
      <c r="B47" t="s">
        <v>10</v>
      </c>
      <c r="C47" s="3">
        <v>-1000000</v>
      </c>
      <c r="D47" s="3" t="s">
        <v>0</v>
      </c>
      <c r="E47" s="3" t="s">
        <v>0</v>
      </c>
    </row>
    <row r="48" spans="1:5" x14ac:dyDescent="0.35">
      <c r="A48" t="s">
        <v>25</v>
      </c>
      <c r="B48" t="s">
        <v>10</v>
      </c>
      <c r="C48" s="3">
        <v>-1678000</v>
      </c>
      <c r="D48" s="3" t="s">
        <v>0</v>
      </c>
      <c r="E48" s="3" t="s">
        <v>0</v>
      </c>
    </row>
    <row r="49" spans="1:5" x14ac:dyDescent="0.35">
      <c r="A49" t="s">
        <v>25</v>
      </c>
      <c r="B49" t="s">
        <v>10</v>
      </c>
      <c r="C49" s="3">
        <v>-200000</v>
      </c>
      <c r="D49" s="3" t="s">
        <v>0</v>
      </c>
      <c r="E49" s="3" t="s">
        <v>0</v>
      </c>
    </row>
    <row r="50" spans="1:5" x14ac:dyDescent="0.35">
      <c r="A50" t="s">
        <v>25</v>
      </c>
      <c r="B50" t="s">
        <v>27</v>
      </c>
      <c r="C50" s="3">
        <v>-16990</v>
      </c>
      <c r="D50" s="3" t="s">
        <v>0</v>
      </c>
      <c r="E50" s="3" t="s">
        <v>0</v>
      </c>
    </row>
    <row r="51" spans="1:5" x14ac:dyDescent="0.35">
      <c r="A51" t="s">
        <v>28</v>
      </c>
      <c r="B51" t="s">
        <v>9</v>
      </c>
      <c r="C51" s="3">
        <v>-400000</v>
      </c>
      <c r="D51" s="3" t="s">
        <v>0</v>
      </c>
      <c r="E51" s="3" t="s">
        <v>0</v>
      </c>
    </row>
    <row r="52" spans="1:5" x14ac:dyDescent="0.35">
      <c r="A52" t="s">
        <v>28</v>
      </c>
      <c r="B52" t="s">
        <v>10</v>
      </c>
      <c r="C52" s="3">
        <v>-1000000</v>
      </c>
      <c r="D52" s="3" t="s">
        <v>0</v>
      </c>
      <c r="E52" s="3" t="s">
        <v>0</v>
      </c>
    </row>
    <row r="53" spans="1:5" x14ac:dyDescent="0.35">
      <c r="A53" t="s">
        <v>29</v>
      </c>
      <c r="B53" t="s">
        <v>8</v>
      </c>
      <c r="C53" s="3">
        <v>25000000</v>
      </c>
      <c r="D53" s="3" t="s">
        <v>0</v>
      </c>
      <c r="E53" s="3" t="s">
        <v>0</v>
      </c>
    </row>
    <row r="54" spans="1:5" x14ac:dyDescent="0.35">
      <c r="A54" t="s">
        <v>29</v>
      </c>
      <c r="B54" t="s">
        <v>30</v>
      </c>
      <c r="C54" s="3">
        <v>-19758144</v>
      </c>
      <c r="D54" s="3" t="s">
        <v>0</v>
      </c>
      <c r="E54" s="3" t="s">
        <v>0</v>
      </c>
    </row>
    <row r="55" spans="1:5" x14ac:dyDescent="0.35">
      <c r="A55" t="s">
        <v>29</v>
      </c>
      <c r="B55" t="s">
        <v>31</v>
      </c>
      <c r="C55" s="3">
        <v>-106514.19</v>
      </c>
      <c r="D55" s="3" t="s">
        <v>0</v>
      </c>
      <c r="E55" s="3" t="s">
        <v>0</v>
      </c>
    </row>
    <row r="56" spans="1:5" x14ac:dyDescent="0.35">
      <c r="A56" t="s">
        <v>32</v>
      </c>
      <c r="B56" t="s">
        <v>9</v>
      </c>
      <c r="C56" s="3">
        <v>-100000</v>
      </c>
      <c r="D56" s="3" t="s">
        <v>0</v>
      </c>
      <c r="E56" s="3" t="s">
        <v>0</v>
      </c>
    </row>
    <row r="57" spans="1:5" x14ac:dyDescent="0.35">
      <c r="A57" t="s">
        <v>32</v>
      </c>
      <c r="B57" t="s">
        <v>10</v>
      </c>
      <c r="C57" s="3">
        <v>-731000</v>
      </c>
      <c r="D57" s="3" t="s">
        <v>0</v>
      </c>
      <c r="E57" s="3" t="s">
        <v>0</v>
      </c>
    </row>
    <row r="58" spans="1:5" x14ac:dyDescent="0.35">
      <c r="A58" t="s">
        <v>32</v>
      </c>
      <c r="B58" t="s">
        <v>10</v>
      </c>
      <c r="C58" s="3">
        <v>-510000</v>
      </c>
      <c r="D58" s="3" t="s">
        <v>0</v>
      </c>
      <c r="E58" s="3" t="s">
        <v>0</v>
      </c>
    </row>
    <row r="59" spans="1:5" x14ac:dyDescent="0.35">
      <c r="A59" t="s">
        <v>32</v>
      </c>
      <c r="B59" t="s">
        <v>10</v>
      </c>
      <c r="C59" s="3">
        <v>-413500</v>
      </c>
      <c r="D59" s="3" t="s">
        <v>0</v>
      </c>
      <c r="E59" s="3" t="s">
        <v>0</v>
      </c>
    </row>
    <row r="60" spans="1:5" x14ac:dyDescent="0.35">
      <c r="A60" t="s">
        <v>32</v>
      </c>
      <c r="B60" t="s">
        <v>10</v>
      </c>
      <c r="C60" s="3">
        <v>-1000000</v>
      </c>
      <c r="D60" s="3" t="s">
        <v>0</v>
      </c>
      <c r="E60" s="3" t="s">
        <v>0</v>
      </c>
    </row>
    <row r="61" spans="1:5" x14ac:dyDescent="0.35">
      <c r="A61" t="s">
        <v>32</v>
      </c>
      <c r="B61" t="s">
        <v>10</v>
      </c>
      <c r="C61" s="3">
        <v>-36500</v>
      </c>
      <c r="D61" s="3" t="s">
        <v>0</v>
      </c>
      <c r="E61" s="3" t="s">
        <v>0</v>
      </c>
    </row>
    <row r="62" spans="1:5" x14ac:dyDescent="0.35">
      <c r="A62" t="s">
        <v>33</v>
      </c>
      <c r="B62" t="s">
        <v>10</v>
      </c>
      <c r="C62" s="3">
        <v>-60000</v>
      </c>
      <c r="D62" s="3" t="s">
        <v>0</v>
      </c>
      <c r="E62" s="3" t="s">
        <v>0</v>
      </c>
    </row>
    <row r="63" spans="1:5" x14ac:dyDescent="0.35">
      <c r="A63" t="s">
        <v>33</v>
      </c>
      <c r="B63" t="s">
        <v>10</v>
      </c>
      <c r="C63" s="3">
        <v>-15000</v>
      </c>
      <c r="D63" s="3">
        <f>SUM($C$2:C63)</f>
        <v>-358558.44999999786</v>
      </c>
      <c r="E63" s="3" t="s">
        <v>0</v>
      </c>
    </row>
    <row r="64" spans="1:5" x14ac:dyDescent="0.35">
      <c r="A64" t="s">
        <v>34</v>
      </c>
      <c r="B64" t="s">
        <v>8</v>
      </c>
      <c r="C64" s="3">
        <v>5000000</v>
      </c>
      <c r="D64" s="3" t="s">
        <v>0</v>
      </c>
      <c r="E64" s="3" t="s">
        <v>0</v>
      </c>
    </row>
    <row r="65" spans="1:5" x14ac:dyDescent="0.35">
      <c r="A65" t="s">
        <v>34</v>
      </c>
      <c r="B65" t="s">
        <v>6</v>
      </c>
      <c r="C65" s="3">
        <v>-23000</v>
      </c>
      <c r="D65" s="3" t="s">
        <v>0</v>
      </c>
      <c r="E65" s="3" t="s">
        <v>0</v>
      </c>
    </row>
    <row r="66" spans="1:5" x14ac:dyDescent="0.35">
      <c r="A66" t="s">
        <v>34</v>
      </c>
      <c r="B66" t="s">
        <v>6</v>
      </c>
      <c r="C66" s="3">
        <v>-8000</v>
      </c>
      <c r="D66" s="3" t="s">
        <v>0</v>
      </c>
      <c r="E66" s="3" t="s">
        <v>0</v>
      </c>
    </row>
    <row r="67" spans="1:5" x14ac:dyDescent="0.35">
      <c r="A67" t="s">
        <v>34</v>
      </c>
      <c r="B67" t="s">
        <v>9</v>
      </c>
      <c r="C67" s="3">
        <v>-523000</v>
      </c>
      <c r="D67" s="3" t="s">
        <v>0</v>
      </c>
      <c r="E67" s="3" t="s">
        <v>0</v>
      </c>
    </row>
    <row r="68" spans="1:5" x14ac:dyDescent="0.35">
      <c r="A68" t="s">
        <v>34</v>
      </c>
      <c r="B68" t="s">
        <v>10</v>
      </c>
      <c r="C68" s="3">
        <v>-200000</v>
      </c>
      <c r="D68" s="3" t="s">
        <v>0</v>
      </c>
      <c r="E68" s="3" t="s">
        <v>0</v>
      </c>
    </row>
    <row r="69" spans="1:5" x14ac:dyDescent="0.35">
      <c r="A69" t="s">
        <v>34</v>
      </c>
      <c r="B69" t="s">
        <v>10</v>
      </c>
      <c r="C69" s="3">
        <v>-150000</v>
      </c>
      <c r="D69" s="3" t="s">
        <v>0</v>
      </c>
      <c r="E69" s="3" t="s">
        <v>0</v>
      </c>
    </row>
    <row r="70" spans="1:5" x14ac:dyDescent="0.35">
      <c r="A70" t="s">
        <v>35</v>
      </c>
      <c r="B70" t="s">
        <v>9</v>
      </c>
      <c r="C70" s="3">
        <v>-95000</v>
      </c>
      <c r="D70" s="3" t="s">
        <v>0</v>
      </c>
      <c r="E70" s="3" t="s">
        <v>0</v>
      </c>
    </row>
    <row r="71" spans="1:5" x14ac:dyDescent="0.35">
      <c r="A71" t="s">
        <v>35</v>
      </c>
      <c r="B71" t="s">
        <v>9</v>
      </c>
      <c r="C71" s="3">
        <v>-320000</v>
      </c>
      <c r="D71" s="3" t="s">
        <v>0</v>
      </c>
      <c r="E71" s="3" t="s">
        <v>0</v>
      </c>
    </row>
    <row r="72" spans="1:5" x14ac:dyDescent="0.35">
      <c r="A72" t="s">
        <v>35</v>
      </c>
      <c r="B72" t="s">
        <v>9</v>
      </c>
      <c r="C72" s="3">
        <v>-300000</v>
      </c>
      <c r="D72" s="3" t="s">
        <v>0</v>
      </c>
      <c r="E72" s="3" t="s">
        <v>0</v>
      </c>
    </row>
    <row r="73" spans="1:5" x14ac:dyDescent="0.35">
      <c r="A73" t="s">
        <v>35</v>
      </c>
      <c r="B73" t="s">
        <v>10</v>
      </c>
      <c r="C73" s="3">
        <v>-1000000</v>
      </c>
      <c r="D73" s="3" t="s">
        <v>0</v>
      </c>
      <c r="E73" s="3" t="s">
        <v>0</v>
      </c>
    </row>
    <row r="74" spans="1:5" x14ac:dyDescent="0.35">
      <c r="A74" t="s">
        <v>35</v>
      </c>
      <c r="B74" t="s">
        <v>10</v>
      </c>
      <c r="C74" s="3">
        <v>-36000</v>
      </c>
      <c r="D74" s="3" t="s">
        <v>0</v>
      </c>
      <c r="E74" s="3">
        <f>SUM(C64:C75)</f>
        <v>2145000</v>
      </c>
    </row>
    <row r="75" spans="1:5" x14ac:dyDescent="0.35">
      <c r="A75" t="s">
        <v>35</v>
      </c>
      <c r="B75" t="s">
        <v>10</v>
      </c>
      <c r="C75" s="3">
        <v>-200000</v>
      </c>
      <c r="D75" s="3">
        <f>SUM($C$2:C75)</f>
        <v>1786441.5500000026</v>
      </c>
      <c r="E75" s="3">
        <v>1636442</v>
      </c>
    </row>
    <row r="76" spans="1:5" x14ac:dyDescent="0.35">
      <c r="A76" t="s">
        <v>36</v>
      </c>
      <c r="B76" t="s">
        <v>9</v>
      </c>
      <c r="C76" s="3">
        <v>-300000</v>
      </c>
      <c r="D76" s="3" t="s">
        <v>0</v>
      </c>
      <c r="E76" s="3" t="s">
        <v>0</v>
      </c>
    </row>
    <row r="77" spans="1:5" x14ac:dyDescent="0.35">
      <c r="A77" t="s">
        <v>36</v>
      </c>
      <c r="B77" t="s">
        <v>10</v>
      </c>
      <c r="C77" s="3">
        <v>-50000</v>
      </c>
      <c r="D77" s="3" t="s">
        <v>0</v>
      </c>
      <c r="E77" s="3" t="s">
        <v>0</v>
      </c>
    </row>
    <row r="78" spans="1:5" x14ac:dyDescent="0.35">
      <c r="A78" t="s">
        <v>37</v>
      </c>
      <c r="B78" t="s">
        <v>10</v>
      </c>
      <c r="C78" s="3">
        <v>-50000</v>
      </c>
      <c r="D78" s="3" t="s">
        <v>0</v>
      </c>
      <c r="E78" s="3" t="s">
        <v>0</v>
      </c>
    </row>
    <row r="79" spans="1:5" x14ac:dyDescent="0.35">
      <c r="A79" t="s">
        <v>38</v>
      </c>
      <c r="B79" t="s">
        <v>17</v>
      </c>
      <c r="C79" s="3">
        <v>5440365</v>
      </c>
      <c r="D79" s="3" t="s">
        <v>0</v>
      </c>
      <c r="E79" s="3" t="s">
        <v>0</v>
      </c>
    </row>
    <row r="80" spans="1:5" x14ac:dyDescent="0.35">
      <c r="A80" t="s">
        <v>38</v>
      </c>
      <c r="B80" t="s">
        <v>39</v>
      </c>
      <c r="C80" s="3">
        <v>-45000</v>
      </c>
      <c r="D80" s="3" t="s">
        <v>0</v>
      </c>
      <c r="E80" s="3" t="s">
        <v>0</v>
      </c>
    </row>
    <row r="81" spans="1:5" x14ac:dyDescent="0.35">
      <c r="A81" t="s">
        <v>38</v>
      </c>
      <c r="B81" t="s">
        <v>40</v>
      </c>
      <c r="C81" s="3">
        <v>-100000</v>
      </c>
      <c r="D81" s="3" t="s">
        <v>0</v>
      </c>
      <c r="E81" s="3" t="s">
        <v>0</v>
      </c>
    </row>
    <row r="82" spans="1:5" x14ac:dyDescent="0.35">
      <c r="A82" t="s">
        <v>38</v>
      </c>
      <c r="B82" t="s">
        <v>10</v>
      </c>
      <c r="C82" s="3">
        <v>-600000</v>
      </c>
      <c r="D82" s="3" t="s">
        <v>0</v>
      </c>
      <c r="E82" s="3" t="s">
        <v>0</v>
      </c>
    </row>
    <row r="83" spans="1:5" x14ac:dyDescent="0.35">
      <c r="A83" t="s">
        <v>38</v>
      </c>
      <c r="B83" t="s">
        <v>10</v>
      </c>
      <c r="C83" s="3">
        <v>-1616803</v>
      </c>
      <c r="D83" s="3" t="s">
        <v>0</v>
      </c>
      <c r="E83" s="3" t="s">
        <v>0</v>
      </c>
    </row>
    <row r="84" spans="1:5" x14ac:dyDescent="0.35">
      <c r="A84" t="s">
        <v>38</v>
      </c>
      <c r="B84" t="s">
        <v>10</v>
      </c>
      <c r="C84" s="3">
        <v>-758000</v>
      </c>
      <c r="D84" s="3" t="s">
        <v>0</v>
      </c>
      <c r="E84" s="3" t="s">
        <v>0</v>
      </c>
    </row>
    <row r="85" spans="1:5" x14ac:dyDescent="0.35">
      <c r="A85" t="s">
        <v>41</v>
      </c>
      <c r="B85" t="s">
        <v>10</v>
      </c>
      <c r="C85" s="3">
        <v>-120500</v>
      </c>
      <c r="D85" s="3" t="s">
        <v>0</v>
      </c>
      <c r="E85" s="3" t="s">
        <v>0</v>
      </c>
    </row>
    <row r="86" spans="1:5" x14ac:dyDescent="0.35">
      <c r="A86" t="s">
        <v>42</v>
      </c>
      <c r="B86" t="s">
        <v>9</v>
      </c>
      <c r="C86" s="3">
        <v>-95000</v>
      </c>
      <c r="D86" s="3" t="s">
        <v>0</v>
      </c>
      <c r="E86" s="3" t="s">
        <v>0</v>
      </c>
    </row>
    <row r="87" spans="1:5" x14ac:dyDescent="0.35">
      <c r="A87" t="s">
        <v>42</v>
      </c>
      <c r="B87" t="s">
        <v>10</v>
      </c>
      <c r="C87" s="3">
        <v>-1400000</v>
      </c>
      <c r="D87" s="3" t="s">
        <v>0</v>
      </c>
      <c r="E87" s="3" t="s">
        <v>0</v>
      </c>
    </row>
    <row r="88" spans="1:5" x14ac:dyDescent="0.35">
      <c r="A88" t="s">
        <v>42</v>
      </c>
      <c r="B88" t="s">
        <v>10</v>
      </c>
      <c r="C88" s="3">
        <v>-731000</v>
      </c>
      <c r="D88" s="3" t="s">
        <v>0</v>
      </c>
      <c r="E88" s="3" t="s">
        <v>0</v>
      </c>
    </row>
    <row r="89" spans="1:5" x14ac:dyDescent="0.35">
      <c r="A89" t="s">
        <v>42</v>
      </c>
      <c r="B89" t="s">
        <v>10</v>
      </c>
      <c r="C89" s="3">
        <v>-200000</v>
      </c>
      <c r="D89" s="3" t="s">
        <v>0</v>
      </c>
      <c r="E89" s="3" t="s">
        <v>0</v>
      </c>
    </row>
    <row r="90" spans="1:5" x14ac:dyDescent="0.35">
      <c r="A90" t="s">
        <v>43</v>
      </c>
      <c r="B90" t="s">
        <v>10</v>
      </c>
      <c r="C90" s="3">
        <v>2000000</v>
      </c>
      <c r="D90" s="3" t="s">
        <v>0</v>
      </c>
      <c r="E90" s="3" t="s">
        <v>0</v>
      </c>
    </row>
    <row r="91" spans="1:5" x14ac:dyDescent="0.35">
      <c r="A91" t="s">
        <v>43</v>
      </c>
      <c r="B91" t="s">
        <v>44</v>
      </c>
      <c r="C91" s="3">
        <v>-52400</v>
      </c>
      <c r="D91" s="3" t="s">
        <v>0</v>
      </c>
      <c r="E91" s="3" t="s">
        <v>0</v>
      </c>
    </row>
    <row r="92" spans="1:5" x14ac:dyDescent="0.35">
      <c r="A92" t="s">
        <v>43</v>
      </c>
      <c r="B92" t="s">
        <v>45</v>
      </c>
      <c r="C92" s="3">
        <v>-44000</v>
      </c>
      <c r="D92" s="3" t="s">
        <v>0</v>
      </c>
      <c r="E92" s="3" t="s">
        <v>0</v>
      </c>
    </row>
    <row r="93" spans="1:5" x14ac:dyDescent="0.35">
      <c r="A93" t="s">
        <v>43</v>
      </c>
      <c r="B93" t="s">
        <v>46</v>
      </c>
      <c r="C93" s="3">
        <v>-45000</v>
      </c>
      <c r="D93" s="3" t="s">
        <v>0</v>
      </c>
      <c r="E93" s="3" t="s">
        <v>0</v>
      </c>
    </row>
    <row r="94" spans="1:5" x14ac:dyDescent="0.35">
      <c r="A94" t="s">
        <v>43</v>
      </c>
      <c r="B94" t="s">
        <v>9</v>
      </c>
      <c r="C94" s="3">
        <v>-155000</v>
      </c>
      <c r="D94" s="3" t="s">
        <v>0</v>
      </c>
      <c r="E94" s="3" t="s">
        <v>0</v>
      </c>
    </row>
    <row r="95" spans="1:5" x14ac:dyDescent="0.35">
      <c r="A95" t="s">
        <v>43</v>
      </c>
      <c r="B95" t="s">
        <v>9</v>
      </c>
      <c r="C95" s="3">
        <v>-200000</v>
      </c>
      <c r="D95" s="3" t="s">
        <v>0</v>
      </c>
      <c r="E95" s="3" t="s">
        <v>0</v>
      </c>
    </row>
    <row r="96" spans="1:5" x14ac:dyDescent="0.35">
      <c r="A96" t="s">
        <v>43</v>
      </c>
      <c r="B96" t="s">
        <v>9</v>
      </c>
      <c r="C96" s="3">
        <v>-330000</v>
      </c>
      <c r="D96" s="3" t="s">
        <v>0</v>
      </c>
      <c r="E96" s="3" t="s">
        <v>0</v>
      </c>
    </row>
    <row r="97" spans="1:5" x14ac:dyDescent="0.35">
      <c r="A97" t="s">
        <v>43</v>
      </c>
      <c r="B97" t="s">
        <v>10</v>
      </c>
      <c r="C97" s="3">
        <v>-1000000</v>
      </c>
      <c r="D97" s="3" t="s">
        <v>0</v>
      </c>
      <c r="E97" s="3" t="s">
        <v>0</v>
      </c>
    </row>
    <row r="98" spans="1:5" x14ac:dyDescent="0.35">
      <c r="A98" t="s">
        <v>43</v>
      </c>
      <c r="B98" t="s">
        <v>10</v>
      </c>
      <c r="C98" s="3">
        <v>-50000</v>
      </c>
      <c r="D98" s="3" t="s">
        <v>0</v>
      </c>
      <c r="E98" s="3" t="s">
        <v>0</v>
      </c>
    </row>
    <row r="99" spans="1:5" x14ac:dyDescent="0.35">
      <c r="A99" t="s">
        <v>43</v>
      </c>
      <c r="B99" t="s">
        <v>10</v>
      </c>
      <c r="C99" s="3">
        <v>-54800</v>
      </c>
      <c r="D99" s="3" t="s">
        <v>0</v>
      </c>
      <c r="E99" s="3" t="s">
        <v>0</v>
      </c>
    </row>
    <row r="100" spans="1:5" x14ac:dyDescent="0.35">
      <c r="A100" t="s">
        <v>43</v>
      </c>
      <c r="B100" t="s">
        <v>10</v>
      </c>
      <c r="C100" s="3">
        <v>-1500000</v>
      </c>
      <c r="D100" s="3" t="s">
        <v>0</v>
      </c>
      <c r="E100" s="3" t="s">
        <v>0</v>
      </c>
    </row>
    <row r="101" spans="1:5" x14ac:dyDescent="0.35">
      <c r="A101" t="s">
        <v>47</v>
      </c>
      <c r="B101" t="s">
        <v>10</v>
      </c>
      <c r="C101" s="3">
        <v>-50000</v>
      </c>
      <c r="D101" s="3" t="s">
        <v>0</v>
      </c>
      <c r="E101" s="3" t="s">
        <v>0</v>
      </c>
    </row>
    <row r="102" spans="1:5" x14ac:dyDescent="0.35">
      <c r="A102" t="s">
        <v>47</v>
      </c>
      <c r="B102" t="s">
        <v>10</v>
      </c>
      <c r="C102" s="3">
        <v>-50000</v>
      </c>
      <c r="D102" s="3" t="s">
        <v>0</v>
      </c>
      <c r="E102" s="3" t="s">
        <v>0</v>
      </c>
    </row>
    <row r="103" spans="1:5" x14ac:dyDescent="0.35">
      <c r="A103" t="s">
        <v>47</v>
      </c>
      <c r="B103" t="s">
        <v>10</v>
      </c>
      <c r="C103" s="3">
        <v>-150000</v>
      </c>
      <c r="D103" s="3" t="s">
        <v>0</v>
      </c>
      <c r="E103" s="3" t="s">
        <v>0</v>
      </c>
    </row>
    <row r="104" spans="1:5" x14ac:dyDescent="0.35">
      <c r="A104" t="s">
        <v>47</v>
      </c>
      <c r="B104" t="s">
        <v>10</v>
      </c>
      <c r="C104" s="3">
        <v>-1050000</v>
      </c>
      <c r="D104" s="3" t="s">
        <v>0</v>
      </c>
      <c r="E104" s="3" t="s">
        <v>0</v>
      </c>
    </row>
    <row r="105" spans="1:5" x14ac:dyDescent="0.35">
      <c r="A105" t="s">
        <v>48</v>
      </c>
      <c r="B105" t="s">
        <v>49</v>
      </c>
      <c r="C105" s="3">
        <v>5478230</v>
      </c>
      <c r="D105" s="3" t="s">
        <v>0</v>
      </c>
      <c r="E105" s="3" t="s">
        <v>0</v>
      </c>
    </row>
    <row r="106" spans="1:5" x14ac:dyDescent="0.35">
      <c r="A106" t="s">
        <v>50</v>
      </c>
      <c r="B106" t="s">
        <v>8</v>
      </c>
      <c r="C106" s="3">
        <v>10000000</v>
      </c>
      <c r="D106" s="3" t="s">
        <v>0</v>
      </c>
      <c r="E106" s="3" t="s">
        <v>0</v>
      </c>
    </row>
    <row r="107" spans="1:5" x14ac:dyDescent="0.35">
      <c r="A107" t="s">
        <v>50</v>
      </c>
      <c r="B107" t="s">
        <v>10</v>
      </c>
      <c r="C107" s="3">
        <v>-920000</v>
      </c>
      <c r="D107" s="3" t="s">
        <v>0</v>
      </c>
      <c r="E107" s="3" t="s">
        <v>0</v>
      </c>
    </row>
    <row r="108" spans="1:5" x14ac:dyDescent="0.35">
      <c r="A108" t="s">
        <v>50</v>
      </c>
      <c r="B108" t="s">
        <v>10</v>
      </c>
      <c r="C108" s="3">
        <v>-3000000</v>
      </c>
      <c r="D108" s="3" t="s">
        <v>0</v>
      </c>
      <c r="E108" s="3" t="s">
        <v>0</v>
      </c>
    </row>
    <row r="109" spans="1:5" x14ac:dyDescent="0.35">
      <c r="A109" t="s">
        <v>50</v>
      </c>
      <c r="B109" t="s">
        <v>10</v>
      </c>
      <c r="C109" s="3">
        <v>-1200000</v>
      </c>
      <c r="D109" s="3" t="s">
        <v>0</v>
      </c>
      <c r="E109" s="3" t="s">
        <v>0</v>
      </c>
    </row>
    <row r="110" spans="1:5" x14ac:dyDescent="0.35">
      <c r="A110" t="s">
        <v>50</v>
      </c>
      <c r="B110" t="s">
        <v>10</v>
      </c>
      <c r="C110" s="3">
        <v>-1223090</v>
      </c>
      <c r="E110" s="3" t="s">
        <v>0</v>
      </c>
    </row>
    <row r="111" spans="1:5" x14ac:dyDescent="0.35">
      <c r="A111" t="s">
        <v>51</v>
      </c>
      <c r="B111" t="s">
        <v>9</v>
      </c>
      <c r="C111" s="3">
        <v>-150000</v>
      </c>
      <c r="D111" s="3">
        <f>SUM($C$2:C111)</f>
        <v>7414443.5500000026</v>
      </c>
      <c r="E111" s="3">
        <v>7414444</v>
      </c>
    </row>
    <row r="112" spans="1:5" x14ac:dyDescent="0.35">
      <c r="A112" t="s">
        <v>50</v>
      </c>
      <c r="B112" t="s">
        <v>14</v>
      </c>
      <c r="C112" s="3">
        <v>-249026.05</v>
      </c>
      <c r="D112" s="3" t="s">
        <v>0</v>
      </c>
      <c r="E112" s="3">
        <f>+E111-D111</f>
        <v>0.44999999739229679</v>
      </c>
    </row>
    <row r="113" spans="1:5" x14ac:dyDescent="0.35">
      <c r="A113" t="s">
        <v>51</v>
      </c>
      <c r="B113" t="s">
        <v>5</v>
      </c>
      <c r="C113" s="3">
        <v>166.26</v>
      </c>
      <c r="D113" s="3">
        <f>SUM($C$2:C113)</f>
        <v>7165583.7600000026</v>
      </c>
      <c r="E113" s="3">
        <v>7165584</v>
      </c>
    </row>
    <row r="114" spans="1:5" x14ac:dyDescent="0.35">
      <c r="A114" t="s">
        <v>0</v>
      </c>
      <c r="C114" s="3" t="s">
        <v>0</v>
      </c>
      <c r="D114" s="3" t="s">
        <v>0</v>
      </c>
      <c r="E114" s="3">
        <f>+E113-D113</f>
        <v>0.23999999742954969</v>
      </c>
    </row>
  </sheetData>
  <autoFilter ref="A1:E114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Extracto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Sergio Lalinde</cp:lastModifiedBy>
  <dcterms:modified xsi:type="dcterms:W3CDTF">2024-08-05T14:28:41Z</dcterms:modified>
</cp:coreProperties>
</file>