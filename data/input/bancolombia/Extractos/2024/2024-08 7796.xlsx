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47" documentId="11_A3DF3F016D9F157249F1D9D7464097862DE81EBF" xr6:coauthVersionLast="47" xr6:coauthVersionMax="47" xr10:uidLastSave="{EB5E38E8-1BFD-4EC9-900B-638D97493700}"/>
  <bookViews>
    <workbookView xWindow="26790" yWindow="0" windowWidth="11700" windowHeight="20970" activeTab="1" xr2:uid="{00000000-000D-0000-FFFF-FFFF00000000}"/>
  </bookViews>
  <sheets>
    <sheet name="DOLARES" sheetId="1" r:id="rId1"/>
    <sheet name="PES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2" l="1"/>
  <c r="D24" i="2"/>
  <c r="D61" i="2"/>
  <c r="D9" i="1"/>
</calcChain>
</file>

<file path=xl/sharedStrings.xml><?xml version="1.0" encoding="utf-8"?>
<sst xmlns="http://schemas.openxmlformats.org/spreadsheetml/2006/main" count="142" uniqueCount="60">
  <si>
    <t>30/07/2024</t>
  </si>
  <si>
    <t>31/08/2024</t>
  </si>
  <si>
    <t>Fecha de Transacción</t>
  </si>
  <si>
    <t>Descripción</t>
  </si>
  <si>
    <t>Valor Original</t>
  </si>
  <si>
    <t>INTERESES CORRIENTES</t>
  </si>
  <si>
    <t>27/08/2024</t>
  </si>
  <si>
    <t>APPLE.COM/BILL</t>
  </si>
  <si>
    <t>24/08/2024</t>
  </si>
  <si>
    <t>OF</t>
  </si>
  <si>
    <t>21/08/2024</t>
  </si>
  <si>
    <t>ABONO SUCURSAL VIRTUAL</t>
  </si>
  <si>
    <t>15/08/2024</t>
  </si>
  <si>
    <t>AMAZON MKTPL*RU1HK6XY2</t>
  </si>
  <si>
    <t>14/08/2024</t>
  </si>
  <si>
    <t>MMBILL.COM</t>
  </si>
  <si>
    <t>13/08/2024</t>
  </si>
  <si>
    <t>DIGITAL RIVER IRELAND</t>
  </si>
  <si>
    <t>28/08/2024</t>
  </si>
  <si>
    <t>MATERIALES MAESTRO COL</t>
  </si>
  <si>
    <t>26/08/2024</t>
  </si>
  <si>
    <t>AMAZON.COM</t>
  </si>
  <si>
    <t>MUNICIPIO DE LA CEJA</t>
  </si>
  <si>
    <t>TIENDA D1 LA CEJA SAN</t>
  </si>
  <si>
    <t>MERCOLANTA MONTE MADER</t>
  </si>
  <si>
    <t>23/08/2024</t>
  </si>
  <si>
    <t>22/08/2024</t>
  </si>
  <si>
    <t>EPM SERVICIOS PUBLICOS</t>
  </si>
  <si>
    <t>TIGO SERVICIOS HOGAR Y</t>
  </si>
  <si>
    <t>EXITO LA CEJA</t>
  </si>
  <si>
    <t>20/08/2024</t>
  </si>
  <si>
    <t>CREPES Y WAFFLES LEMON</t>
  </si>
  <si>
    <t>HOMECENTER ENVIGADO</t>
  </si>
  <si>
    <t>TIENDA D1 LA CEJA 4</t>
  </si>
  <si>
    <t>AGROFACIL</t>
  </si>
  <si>
    <t>17/08/2024</t>
  </si>
  <si>
    <t>16/08/2024</t>
  </si>
  <si>
    <t>SURAMERICANA SEGUROS D</t>
  </si>
  <si>
    <t>CORPAUL</t>
  </si>
  <si>
    <t>RECARGA AUTOMATICA FLYPASS</t>
  </si>
  <si>
    <t>EDS EL ENCIERRO CEJA F</t>
  </si>
  <si>
    <t>11/08/2024</t>
  </si>
  <si>
    <t>10/08/2024</t>
  </si>
  <si>
    <t>09/08/2024</t>
  </si>
  <si>
    <t>08/08/2024</t>
  </si>
  <si>
    <t>07/08/2024</t>
  </si>
  <si>
    <t>CAPIRO VIVERO</t>
  </si>
  <si>
    <t>06/08/2024</t>
  </si>
  <si>
    <t>INVERSIONES RAMEJ SAS</t>
  </si>
  <si>
    <t>DLO*Netflix.com</t>
  </si>
  <si>
    <t>02/08/2024</t>
  </si>
  <si>
    <t>01/08/2024</t>
  </si>
  <si>
    <t>PLANTAS DEL TAMBO</t>
  </si>
  <si>
    <t>TIENDA D1 CANTARRANA</t>
  </si>
  <si>
    <t>31/07/2024</t>
  </si>
  <si>
    <t>MUNICIPIO DE MEDELLIN</t>
  </si>
  <si>
    <t>EXITO WOW DEL ESTE</t>
  </si>
  <si>
    <t>DOLLARCITY DEL ESTE ME</t>
  </si>
  <si>
    <t>PRICESMART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</si>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</sst>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30" x14ac:knownFonts="1">
    <font>
      <sz val="11"/>
      <name val="Calibri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2" fillId="0" borderId="0" xfId="0" applyFont="1"/>
    <xf numFmtId="0" fontId="23" fillId="0" borderId="0" xfId="0" applyFont="1"/>
    <xf numFmtId="0" fontId="25" fillId="0" borderId="0" xfId="0" applyFont="1"/>
    <xf numFmtId="0" fontId="26" fillId="0" borderId="0" xfId="0" applyFont="1"/>
    <xf numFmtId="164" fontId="6" fillId="0" borderId="0" xfId="0" applyNumberFormat="1" applyFont="1"/>
    <xf numFmtId="164" fontId="9" fillId="0" borderId="0" xfId="0" applyNumberFormat="1" applyFont="1"/>
    <xf numFmtId="164" fontId="12" fillId="0" borderId="0" xfId="0" applyNumberFormat="1" applyFont="1"/>
    <xf numFmtId="164" fontId="15" fillId="0" borderId="0" xfId="0" applyNumberFormat="1" applyFont="1"/>
    <xf numFmtId="164" fontId="18" fillId="0" borderId="0" xfId="0" applyNumberFormat="1" applyFont="1"/>
    <xf numFmtId="164" fontId="21" fillId="0" borderId="0" xfId="0" applyNumberFormat="1" applyFont="1"/>
    <xf numFmtId="164" fontId="24" fillId="0" borderId="0" xfId="0" applyNumberFormat="1" applyFont="1"/>
    <xf numFmtId="164" fontId="27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0" fontId="29" fillId="0" borderId="0" xfId="0" applyFont="1"/>
    <xf numFmtId="165" fontId="2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1" max="1" width="12" customWidth="1"/>
    <col min="2" max="2" width="26.54296875" bestFit="1" customWidth="1"/>
    <col min="3" max="3" width="12" style="25" customWidth="1"/>
  </cols>
  <sheetData>
    <row r="1" spans="1:4" s="29" customFormat="1" ht="29" x14ac:dyDescent="0.35">
      <c r="A1" s="26" t="s">
        <v>2</v>
      </c>
      <c r="B1" s="27" t="s">
        <v>3</v>
      </c>
      <c r="C1" s="28" t="s">
        <v>4</v>
      </c>
    </row>
    <row r="2" spans="1:4" x14ac:dyDescent="0.35">
      <c r="A2" s="15" t="s">
        <v>16</v>
      </c>
      <c r="B2" s="16" t="s">
        <v>17</v>
      </c>
      <c r="C2" s="24">
        <v>9.26</v>
      </c>
    </row>
    <row r="3" spans="1:4" x14ac:dyDescent="0.35">
      <c r="A3" s="11" t="s">
        <v>14</v>
      </c>
      <c r="B3" s="12" t="s">
        <v>15</v>
      </c>
      <c r="C3" s="22">
        <v>20.99</v>
      </c>
    </row>
    <row r="4" spans="1:4" x14ac:dyDescent="0.35">
      <c r="A4" s="13" t="s">
        <v>14</v>
      </c>
      <c r="B4" s="14" t="s">
        <v>9</v>
      </c>
      <c r="C4" s="23">
        <v>5.95</v>
      </c>
    </row>
    <row r="5" spans="1:4" x14ac:dyDescent="0.35">
      <c r="A5" s="9" t="s">
        <v>12</v>
      </c>
      <c r="B5" s="10" t="s">
        <v>13</v>
      </c>
      <c r="C5" s="21">
        <v>29.6</v>
      </c>
    </row>
    <row r="6" spans="1:4" x14ac:dyDescent="0.35">
      <c r="A6" s="7" t="s">
        <v>10</v>
      </c>
      <c r="B6" s="8" t="s">
        <v>11</v>
      </c>
      <c r="C6" s="20">
        <v>-12</v>
      </c>
    </row>
    <row r="7" spans="1:4" x14ac:dyDescent="0.35">
      <c r="A7" s="5" t="s">
        <v>8</v>
      </c>
      <c r="B7" s="6" t="s">
        <v>9</v>
      </c>
      <c r="C7" s="19">
        <v>23.8</v>
      </c>
    </row>
    <row r="8" spans="1:4" x14ac:dyDescent="0.35">
      <c r="A8" s="3" t="s">
        <v>6</v>
      </c>
      <c r="B8" s="4" t="s">
        <v>7</v>
      </c>
      <c r="C8" s="18">
        <v>3.17</v>
      </c>
    </row>
    <row r="9" spans="1:4" x14ac:dyDescent="0.35">
      <c r="A9" s="1" t="s">
        <v>1</v>
      </c>
      <c r="B9" s="2" t="s">
        <v>5</v>
      </c>
      <c r="C9" s="17">
        <v>0.28000000000000003</v>
      </c>
      <c r="D9" s="25">
        <f>SUM(C2:C9)</f>
        <v>81.050000000000011</v>
      </c>
    </row>
  </sheetData>
  <sortState xmlns:xlrd2="http://schemas.microsoft.com/office/spreadsheetml/2017/richdata2" ref="A2:C9">
    <sortCondition ref="A2:A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.5" x14ac:dyDescent="0.35"/>
  <cols>
    <col min="1" max="1" width="11.7265625" style="32" bestFit="1" customWidth="1"/>
    <col min="2" max="2" width="36.81640625" style="32" bestFit="1" customWidth="1"/>
    <col min="3" max="3" width="15.453125" style="33" bestFit="1" customWidth="1"/>
    <col min="4" max="4" width="12.36328125" style="33" bestFit="1" customWidth="1"/>
    <col min="5" max="16384" width="8.7265625" style="32"/>
  </cols>
  <sheetData>
    <row r="1" spans="1:4" s="30" customFormat="1" x14ac:dyDescent="0.35">
      <c r="A1" s="30" t="s">
        <v>59</v>
      </c>
      <c r="B1" s="30" t="s">
        <v>3</v>
      </c>
      <c r="C1" s="31" t="s">
        <v>4</v>
      </c>
      <c r="D1" s="31"/>
    </row>
    <row r="2" spans="1:4" x14ac:dyDescent="0.35">
      <c r="A2" s="32" t="s">
        <v>0</v>
      </c>
      <c r="B2" s="32" t="s">
        <v>56</v>
      </c>
      <c r="C2" s="33">
        <v>163410</v>
      </c>
    </row>
    <row r="3" spans="1:4" x14ac:dyDescent="0.35">
      <c r="A3" s="32" t="s">
        <v>0</v>
      </c>
      <c r="B3" s="32" t="s">
        <v>57</v>
      </c>
      <c r="C3" s="33">
        <v>68000</v>
      </c>
    </row>
    <row r="4" spans="1:4" x14ac:dyDescent="0.35">
      <c r="A4" s="32" t="s">
        <v>0</v>
      </c>
      <c r="B4" s="32" t="s">
        <v>31</v>
      </c>
      <c r="C4" s="33">
        <v>75800</v>
      </c>
    </row>
    <row r="5" spans="1:4" x14ac:dyDescent="0.35">
      <c r="A5" s="32" t="s">
        <v>0</v>
      </c>
      <c r="B5" s="32" t="s">
        <v>33</v>
      </c>
      <c r="C5" s="33">
        <v>19170</v>
      </c>
    </row>
    <row r="6" spans="1:4" x14ac:dyDescent="0.35">
      <c r="A6" s="32" t="s">
        <v>0</v>
      </c>
      <c r="B6" s="32" t="s">
        <v>58</v>
      </c>
      <c r="C6" s="33">
        <v>1911900</v>
      </c>
      <c r="D6" s="32"/>
    </row>
    <row r="7" spans="1:4" x14ac:dyDescent="0.35">
      <c r="A7" s="32" t="s">
        <v>54</v>
      </c>
      <c r="B7" s="32" t="s">
        <v>19</v>
      </c>
      <c r="C7" s="33">
        <v>66600</v>
      </c>
    </row>
    <row r="8" spans="1:4" x14ac:dyDescent="0.35">
      <c r="A8" s="32" t="s">
        <v>54</v>
      </c>
      <c r="B8" s="32" t="s">
        <v>55</v>
      </c>
      <c r="C8" s="33">
        <v>7198197</v>
      </c>
    </row>
    <row r="9" spans="1:4" x14ac:dyDescent="0.35">
      <c r="A9" s="32" t="s">
        <v>54</v>
      </c>
      <c r="B9" s="32" t="s">
        <v>24</v>
      </c>
      <c r="C9" s="33">
        <v>78450</v>
      </c>
    </row>
    <row r="10" spans="1:4" x14ac:dyDescent="0.35">
      <c r="A10" s="32" t="s">
        <v>54</v>
      </c>
      <c r="B10" s="32" t="s">
        <v>46</v>
      </c>
      <c r="C10" s="33">
        <v>29500</v>
      </c>
    </row>
    <row r="11" spans="1:4" x14ac:dyDescent="0.35">
      <c r="A11" s="32" t="s">
        <v>54</v>
      </c>
      <c r="B11" s="32" t="s">
        <v>40</v>
      </c>
      <c r="C11" s="33">
        <v>15750</v>
      </c>
    </row>
    <row r="12" spans="1:4" x14ac:dyDescent="0.35">
      <c r="A12" s="32" t="s">
        <v>51</v>
      </c>
      <c r="B12" s="32" t="s">
        <v>52</v>
      </c>
      <c r="C12" s="33">
        <v>114000</v>
      </c>
    </row>
    <row r="13" spans="1:4" x14ac:dyDescent="0.35">
      <c r="A13" s="32" t="s">
        <v>51</v>
      </c>
      <c r="B13" s="32" t="s">
        <v>29</v>
      </c>
      <c r="C13" s="33">
        <v>29220</v>
      </c>
    </row>
    <row r="14" spans="1:4" x14ac:dyDescent="0.35">
      <c r="A14" s="32" t="s">
        <v>51</v>
      </c>
      <c r="B14" s="32" t="s">
        <v>53</v>
      </c>
      <c r="C14" s="33">
        <v>375130</v>
      </c>
    </row>
    <row r="15" spans="1:4" x14ac:dyDescent="0.35">
      <c r="A15" s="32" t="s">
        <v>51</v>
      </c>
      <c r="B15" s="32" t="s">
        <v>53</v>
      </c>
      <c r="C15" s="33">
        <v>35480</v>
      </c>
    </row>
    <row r="16" spans="1:4" x14ac:dyDescent="0.35">
      <c r="A16" s="32" t="s">
        <v>50</v>
      </c>
      <c r="B16" s="32" t="s">
        <v>28</v>
      </c>
      <c r="C16" s="33">
        <v>42320</v>
      </c>
    </row>
    <row r="17" spans="1:4" x14ac:dyDescent="0.35">
      <c r="A17" s="32" t="s">
        <v>47</v>
      </c>
      <c r="B17" s="32" t="s">
        <v>48</v>
      </c>
      <c r="C17" s="33">
        <v>71800</v>
      </c>
    </row>
    <row r="18" spans="1:4" x14ac:dyDescent="0.35">
      <c r="A18" s="32" t="s">
        <v>47</v>
      </c>
      <c r="B18" s="32" t="s">
        <v>49</v>
      </c>
      <c r="C18" s="33">
        <v>38900</v>
      </c>
    </row>
    <row r="19" spans="1:4" x14ac:dyDescent="0.35">
      <c r="A19" s="32" t="s">
        <v>45</v>
      </c>
      <c r="B19" s="32" t="s">
        <v>46</v>
      </c>
      <c r="C19" s="33">
        <v>20000</v>
      </c>
    </row>
    <row r="20" spans="1:4" x14ac:dyDescent="0.35">
      <c r="A20" s="32" t="s">
        <v>44</v>
      </c>
      <c r="B20" s="32" t="s">
        <v>29</v>
      </c>
      <c r="C20" s="33">
        <v>86900</v>
      </c>
    </row>
    <row r="21" spans="1:4" x14ac:dyDescent="0.35">
      <c r="A21" s="32" t="s">
        <v>44</v>
      </c>
      <c r="B21" s="32" t="s">
        <v>29</v>
      </c>
      <c r="C21" s="33">
        <v>4560</v>
      </c>
    </row>
    <row r="22" spans="1:4" x14ac:dyDescent="0.35">
      <c r="A22" s="32" t="s">
        <v>44</v>
      </c>
      <c r="B22" s="32" t="s">
        <v>21</v>
      </c>
      <c r="C22" s="33">
        <v>156429</v>
      </c>
    </row>
    <row r="23" spans="1:4" x14ac:dyDescent="0.35">
      <c r="A23" s="32" t="s">
        <v>43</v>
      </c>
      <c r="B23" s="32" t="s">
        <v>21</v>
      </c>
      <c r="C23" s="33">
        <v>536608</v>
      </c>
    </row>
    <row r="24" spans="1:4" x14ac:dyDescent="0.35">
      <c r="A24" s="32" t="s">
        <v>42</v>
      </c>
      <c r="B24" s="32" t="s">
        <v>21</v>
      </c>
      <c r="C24" s="33">
        <v>570105</v>
      </c>
      <c r="D24" s="33">
        <f>SUM($C$2:C24)</f>
        <v>11708229</v>
      </c>
    </row>
    <row r="25" spans="1:4" x14ac:dyDescent="0.35">
      <c r="A25" s="32" t="s">
        <v>41</v>
      </c>
      <c r="B25" s="32" t="s">
        <v>21</v>
      </c>
      <c r="C25" s="33">
        <v>104067</v>
      </c>
    </row>
    <row r="26" spans="1:4" x14ac:dyDescent="0.35">
      <c r="A26" s="32" t="s">
        <v>41</v>
      </c>
      <c r="B26" s="32" t="s">
        <v>21</v>
      </c>
      <c r="C26" s="33">
        <v>74959</v>
      </c>
    </row>
    <row r="27" spans="1:4" x14ac:dyDescent="0.35">
      <c r="A27" s="32" t="s">
        <v>41</v>
      </c>
      <c r="B27" s="32" t="s">
        <v>21</v>
      </c>
      <c r="C27" s="33">
        <v>112396</v>
      </c>
    </row>
    <row r="28" spans="1:4" x14ac:dyDescent="0.35">
      <c r="A28" s="32" t="s">
        <v>41</v>
      </c>
      <c r="B28" s="32" t="s">
        <v>21</v>
      </c>
      <c r="C28" s="33">
        <v>112396</v>
      </c>
    </row>
    <row r="29" spans="1:4" x14ac:dyDescent="0.35">
      <c r="A29" s="32" t="s">
        <v>41</v>
      </c>
      <c r="B29" s="32" t="s">
        <v>28</v>
      </c>
      <c r="C29" s="33">
        <v>188038</v>
      </c>
    </row>
    <row r="30" spans="1:4" x14ac:dyDescent="0.35">
      <c r="A30" s="32" t="s">
        <v>16</v>
      </c>
      <c r="B30" s="32" t="s">
        <v>39</v>
      </c>
      <c r="C30" s="33">
        <v>100000</v>
      </c>
    </row>
    <row r="31" spans="1:4" x14ac:dyDescent="0.35">
      <c r="A31" s="32" t="s">
        <v>16</v>
      </c>
      <c r="B31" s="32" t="s">
        <v>31</v>
      </c>
      <c r="C31" s="33">
        <v>75800</v>
      </c>
    </row>
    <row r="32" spans="1:4" x14ac:dyDescent="0.35">
      <c r="A32" s="32" t="s">
        <v>16</v>
      </c>
      <c r="B32" s="32" t="s">
        <v>40</v>
      </c>
      <c r="C32" s="33">
        <v>22000</v>
      </c>
    </row>
    <row r="33" spans="1:4" x14ac:dyDescent="0.35">
      <c r="A33" s="32" t="s">
        <v>14</v>
      </c>
      <c r="B33" s="32" t="s">
        <v>19</v>
      </c>
      <c r="C33" s="33">
        <v>41400</v>
      </c>
    </row>
    <row r="34" spans="1:4" x14ac:dyDescent="0.35">
      <c r="A34" s="32" t="s">
        <v>14</v>
      </c>
      <c r="B34" s="32" t="s">
        <v>29</v>
      </c>
      <c r="C34" s="33">
        <v>46590</v>
      </c>
    </row>
    <row r="35" spans="1:4" x14ac:dyDescent="0.35">
      <c r="A35" s="32" t="s">
        <v>14</v>
      </c>
      <c r="B35" s="32" t="s">
        <v>23</v>
      </c>
      <c r="C35" s="33">
        <v>241150</v>
      </c>
    </row>
    <row r="36" spans="1:4" x14ac:dyDescent="0.35">
      <c r="A36" s="32" t="s">
        <v>12</v>
      </c>
      <c r="B36" s="32" t="s">
        <v>38</v>
      </c>
      <c r="C36" s="33">
        <v>10000</v>
      </c>
    </row>
    <row r="37" spans="1:4" x14ac:dyDescent="0.35">
      <c r="A37" s="32" t="s">
        <v>36</v>
      </c>
      <c r="B37" s="32" t="s">
        <v>37</v>
      </c>
      <c r="C37" s="33">
        <v>759251</v>
      </c>
    </row>
    <row r="38" spans="1:4" x14ac:dyDescent="0.35">
      <c r="A38" s="32" t="s">
        <v>36</v>
      </c>
      <c r="B38" s="32" t="s">
        <v>37</v>
      </c>
      <c r="C38" s="33">
        <v>2274922</v>
      </c>
    </row>
    <row r="39" spans="1:4" x14ac:dyDescent="0.35">
      <c r="A39" s="32" t="s">
        <v>35</v>
      </c>
      <c r="B39" s="32" t="s">
        <v>29</v>
      </c>
      <c r="C39" s="33">
        <v>69540</v>
      </c>
    </row>
    <row r="40" spans="1:4" x14ac:dyDescent="0.35">
      <c r="A40" s="32" t="s">
        <v>30</v>
      </c>
      <c r="B40" s="32" t="s">
        <v>27</v>
      </c>
      <c r="C40" s="33">
        <v>915883</v>
      </c>
    </row>
    <row r="41" spans="1:4" x14ac:dyDescent="0.35">
      <c r="A41" s="32" t="s">
        <v>30</v>
      </c>
      <c r="B41" s="32" t="s">
        <v>31</v>
      </c>
      <c r="C41" s="33">
        <v>75800</v>
      </c>
    </row>
    <row r="42" spans="1:4" x14ac:dyDescent="0.35">
      <c r="A42" s="32" t="s">
        <v>30</v>
      </c>
      <c r="B42" s="32" t="s">
        <v>32</v>
      </c>
      <c r="C42" s="33">
        <v>149100</v>
      </c>
    </row>
    <row r="43" spans="1:4" x14ac:dyDescent="0.35">
      <c r="A43" s="32" t="s">
        <v>30</v>
      </c>
      <c r="B43" s="32" t="s">
        <v>33</v>
      </c>
      <c r="C43" s="33">
        <v>20580</v>
      </c>
    </row>
    <row r="44" spans="1:4" x14ac:dyDescent="0.35">
      <c r="A44" s="32" t="s">
        <v>30</v>
      </c>
      <c r="B44" s="32" t="s">
        <v>34</v>
      </c>
      <c r="C44" s="33">
        <v>852030</v>
      </c>
      <c r="D44" s="33">
        <f>SUM($C$2:C44)</f>
        <v>17954131</v>
      </c>
    </row>
    <row r="45" spans="1:4" x14ac:dyDescent="0.35">
      <c r="A45" s="32" t="s">
        <v>10</v>
      </c>
      <c r="B45" s="32" t="s">
        <v>11</v>
      </c>
      <c r="C45" s="33">
        <v>-18000000</v>
      </c>
    </row>
    <row r="46" spans="1:4" x14ac:dyDescent="0.35">
      <c r="A46" s="32" t="s">
        <v>10</v>
      </c>
      <c r="B46" s="32" t="s">
        <v>11</v>
      </c>
      <c r="C46" s="33">
        <v>-3558798</v>
      </c>
    </row>
    <row r="47" spans="1:4" x14ac:dyDescent="0.35">
      <c r="A47" s="32" t="s">
        <v>26</v>
      </c>
      <c r="B47" s="32" t="s">
        <v>27</v>
      </c>
      <c r="C47" s="33">
        <v>616674</v>
      </c>
    </row>
    <row r="48" spans="1:4" x14ac:dyDescent="0.35">
      <c r="A48" s="32" t="s">
        <v>26</v>
      </c>
      <c r="B48" s="32" t="s">
        <v>28</v>
      </c>
      <c r="C48" s="33">
        <v>96828</v>
      </c>
    </row>
    <row r="49" spans="1:4" x14ac:dyDescent="0.35">
      <c r="A49" s="32" t="s">
        <v>26</v>
      </c>
      <c r="B49" s="32" t="s">
        <v>29</v>
      </c>
      <c r="C49" s="33">
        <v>133777</v>
      </c>
    </row>
    <row r="50" spans="1:4" x14ac:dyDescent="0.35">
      <c r="A50" s="32" t="s">
        <v>25</v>
      </c>
      <c r="B50" s="32" t="s">
        <v>21</v>
      </c>
      <c r="C50" s="33">
        <v>196133</v>
      </c>
    </row>
    <row r="51" spans="1:4" x14ac:dyDescent="0.35">
      <c r="A51" s="32" t="s">
        <v>25</v>
      </c>
      <c r="B51" s="32" t="s">
        <v>21</v>
      </c>
      <c r="C51" s="33">
        <v>55685</v>
      </c>
    </row>
    <row r="52" spans="1:4" x14ac:dyDescent="0.35">
      <c r="A52" s="32" t="s">
        <v>25</v>
      </c>
      <c r="B52" s="32" t="s">
        <v>21</v>
      </c>
      <c r="C52" s="33">
        <v>196092</v>
      </c>
    </row>
    <row r="53" spans="1:4" x14ac:dyDescent="0.35">
      <c r="A53" s="32" t="s">
        <v>25</v>
      </c>
      <c r="B53" s="32" t="s">
        <v>21</v>
      </c>
      <c r="C53" s="33">
        <v>152576</v>
      </c>
    </row>
    <row r="54" spans="1:4" x14ac:dyDescent="0.35">
      <c r="A54" s="32" t="s">
        <v>25</v>
      </c>
      <c r="B54" s="32" t="s">
        <v>21</v>
      </c>
      <c r="C54" s="33">
        <v>70080</v>
      </c>
    </row>
    <row r="55" spans="1:4" x14ac:dyDescent="0.35">
      <c r="A55" s="32" t="s">
        <v>8</v>
      </c>
      <c r="B55" s="32" t="s">
        <v>24</v>
      </c>
      <c r="C55" s="33">
        <v>76800</v>
      </c>
    </row>
    <row r="56" spans="1:4" x14ac:dyDescent="0.35">
      <c r="A56" s="32" t="s">
        <v>20</v>
      </c>
      <c r="B56" s="32" t="s">
        <v>21</v>
      </c>
      <c r="C56" s="33">
        <v>73915</v>
      </c>
    </row>
    <row r="57" spans="1:4" x14ac:dyDescent="0.35">
      <c r="A57" s="32" t="s">
        <v>20</v>
      </c>
      <c r="B57" s="32" t="s">
        <v>21</v>
      </c>
      <c r="C57" s="33">
        <v>164050</v>
      </c>
    </row>
    <row r="58" spans="1:4" x14ac:dyDescent="0.35">
      <c r="A58" s="32" t="s">
        <v>20</v>
      </c>
      <c r="B58" s="32" t="s">
        <v>22</v>
      </c>
      <c r="C58" s="33">
        <v>875198</v>
      </c>
    </row>
    <row r="59" spans="1:4" x14ac:dyDescent="0.35">
      <c r="A59" s="32" t="s">
        <v>20</v>
      </c>
      <c r="B59" s="32" t="s">
        <v>22</v>
      </c>
      <c r="C59" s="33">
        <v>853498</v>
      </c>
    </row>
    <row r="60" spans="1:4" x14ac:dyDescent="0.35">
      <c r="A60" s="32" t="s">
        <v>20</v>
      </c>
      <c r="B60" s="32" t="s">
        <v>23</v>
      </c>
      <c r="C60" s="33">
        <v>33580</v>
      </c>
    </row>
    <row r="61" spans="1:4" x14ac:dyDescent="0.35">
      <c r="A61" s="32" t="s">
        <v>18</v>
      </c>
      <c r="B61" s="32" t="s">
        <v>19</v>
      </c>
      <c r="C61" s="33">
        <v>163200</v>
      </c>
      <c r="D61" s="33">
        <f>SUM($C$2:C61)</f>
        <v>153419</v>
      </c>
    </row>
  </sheetData>
  <sortState xmlns:xlrd2="http://schemas.microsoft.com/office/spreadsheetml/2017/richdata2" ref="A12:D61">
    <sortCondition ref="A12:A61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DOLARES</vt:lpstr>
      <vt:lpstr>PESOS</vt:lpstr>
    </vt:vector>
  </TitlesOfParts>
  <Company>Paradigma S.A.S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Archivo Excel</dc:title>
  <dc:subject>ParadocCommonDocument.Excel</dc:subject>
  <dc:creator>ParadocXlsBuiderV2</dc:creator>
  <cp:lastModifiedBy>Sergio Lalinde</cp:lastModifiedBy>
  <dcterms:created xsi:type="dcterms:W3CDTF">2024-09-05T15:32:02Z</dcterms:created>
  <dcterms:modified xsi:type="dcterms:W3CDTF">2024-09-06T15:10:57Z</dcterms:modified>
</cp:coreProperties>
</file>