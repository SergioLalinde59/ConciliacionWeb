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40" documentId="11_1A5F43117A408E56BC6205EC688729623106B13C" xr6:coauthVersionLast="47" xr6:coauthVersionMax="47" xr10:uidLastSave="{6A69D3FC-C491-4D69-A23C-CDDC647D6304}"/>
  <bookViews>
    <workbookView xWindow="24910" yWindow="0" windowWidth="13580" windowHeight="20970" xr2:uid="{00000000-000D-0000-FFFF-FFFF00000000}"/>
  </bookViews>
  <sheets>
    <sheet name="Extracto" sheetId="1" r:id="rId1"/>
  </sheets>
  <definedNames>
    <definedName name="_xlnm._FilterDatabase" localSheetId="0" hidden="1">Extracto!$A$1:$E$67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D47" i="1"/>
  <c r="D22" i="1"/>
</calcChain>
</file>

<file path=xl/sharedStrings.xml><?xml version="1.0" encoding="utf-8"?>
<sst xmlns="http://schemas.openxmlformats.org/spreadsheetml/2006/main" count="264" uniqueCount="49">
  <si>
    <t/>
  </si>
  <si>
    <t>FECHA</t>
  </si>
  <si>
    <t>DESCRIPCIÓN</t>
  </si>
  <si>
    <t>VALOR</t>
  </si>
  <si>
    <t>1/09</t>
  </si>
  <si>
    <t>PAGO QR SI TU BOQUITA FUERA</t>
  </si>
  <si>
    <t>TRANSFERENCIA A NEQUI</t>
  </si>
  <si>
    <t>TRANSFERENCIA CTA SUC VIRTUAL</t>
  </si>
  <si>
    <t>ABONO INTERESES AHORROS</t>
  </si>
  <si>
    <t>3/09</t>
  </si>
  <si>
    <t>4/09</t>
  </si>
  <si>
    <t>TRASLADO DE FONDO DE INVERS</t>
  </si>
  <si>
    <t>PAGO PSE ENLACE OPERATIVO S.A</t>
  </si>
  <si>
    <t>PAGO APP TIGO SERVICIOS HOGAR</t>
  </si>
  <si>
    <t>5/09</t>
  </si>
  <si>
    <t>7/09</t>
  </si>
  <si>
    <t>8/09</t>
  </si>
  <si>
    <t>9/09</t>
  </si>
  <si>
    <t>PAGO QR AGROBOLIVAR LA CEJA</t>
  </si>
  <si>
    <t>10/09</t>
  </si>
  <si>
    <t>PAGO INTERBANC INVERSIONES VAN</t>
  </si>
  <si>
    <t>11/09</t>
  </si>
  <si>
    <t>TRASLADO A FONDO DE INVERSION</t>
  </si>
  <si>
    <t>12/09</t>
  </si>
  <si>
    <t>13/09</t>
  </si>
  <si>
    <t>CUOTA MANEJO TARJETA DEBITO</t>
  </si>
  <si>
    <t>14/09</t>
  </si>
  <si>
    <t>15/09</t>
  </si>
  <si>
    <t>16/09</t>
  </si>
  <si>
    <t>PAGO DE PROV F PENS PROTECCI</t>
  </si>
  <si>
    <t>PAGO SUC VIRT TC MASTER PESOS</t>
  </si>
  <si>
    <t>PAGO SUC VIRT TC MASTER DOLAR</t>
  </si>
  <si>
    <t>17/09</t>
  </si>
  <si>
    <t>IMPTO GOBIERNO 4X1000</t>
  </si>
  <si>
    <t>19/09</t>
  </si>
  <si>
    <t>PAGO QR MATERIALES MAESTRO C</t>
  </si>
  <si>
    <t>20/09</t>
  </si>
  <si>
    <t>21/09</t>
  </si>
  <si>
    <t>23/09</t>
  </si>
  <si>
    <t>24/09</t>
  </si>
  <si>
    <t>25/09</t>
  </si>
  <si>
    <t>26/09</t>
  </si>
  <si>
    <t>PAGO DE NOMI PROTECCION</t>
  </si>
  <si>
    <t>27/09</t>
  </si>
  <si>
    <t>28/09</t>
  </si>
  <si>
    <t>29/09</t>
  </si>
  <si>
    <t>30/09</t>
  </si>
  <si>
    <t>204-558059-09</t>
  </si>
  <si>
    <t>556-000103-82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</si>
</sst>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pane ySplit="1" topLeftCell="A2" activePane="bottomLeft" state="frozen"/>
      <selection pane="bottomLeft" activeCell="F27" sqref="F27"/>
    </sheetView>
  </sheetViews>
  <sheetFormatPr defaultRowHeight="15.5" x14ac:dyDescent="0.35"/>
  <cols>
    <col min="1" max="1" width="7.4609375" customWidth="1"/>
    <col min="2" max="2" width="44.3828125" bestFit="1" customWidth="1"/>
    <col min="3" max="3" width="11.3046875" bestFit="1" customWidth="1"/>
    <col min="4" max="4" width="10.23046875" bestFit="1" customWidth="1"/>
  </cols>
  <sheetData>
    <row r="1" spans="1:5" s="1" customFormat="1" x14ac:dyDescent="0.35">
      <c r="A1" s="1" t="s">
        <v>1</v>
      </c>
      <c r="B1" s="1" t="s">
        <v>2</v>
      </c>
      <c r="C1" s="1" t="s">
        <v>3</v>
      </c>
      <c r="D1" s="1" t="s">
        <v>0</v>
      </c>
      <c r="E1" s="1" t="s">
        <v>0</v>
      </c>
    </row>
    <row r="2" spans="1:5" x14ac:dyDescent="0.35">
      <c r="A2" t="s">
        <v>4</v>
      </c>
      <c r="B2" t="s">
        <v>5</v>
      </c>
      <c r="C2" s="2">
        <v>-27500</v>
      </c>
      <c r="D2" t="s">
        <v>0</v>
      </c>
      <c r="E2" t="s">
        <v>0</v>
      </c>
    </row>
    <row r="3" spans="1:5" x14ac:dyDescent="0.35">
      <c r="A3" t="s">
        <v>4</v>
      </c>
      <c r="B3" t="s">
        <v>6</v>
      </c>
      <c r="C3" s="2">
        <v>-95000</v>
      </c>
      <c r="D3" t="s">
        <v>0</v>
      </c>
      <c r="E3" t="s">
        <v>0</v>
      </c>
    </row>
    <row r="4" spans="1:5" x14ac:dyDescent="0.35">
      <c r="A4" t="s">
        <v>4</v>
      </c>
      <c r="B4" t="s">
        <v>7</v>
      </c>
      <c r="C4" s="2">
        <v>-200000</v>
      </c>
      <c r="D4" t="s">
        <v>0</v>
      </c>
      <c r="E4" t="s">
        <v>0</v>
      </c>
    </row>
    <row r="5" spans="1:5" x14ac:dyDescent="0.35">
      <c r="A5" t="s">
        <v>9</v>
      </c>
      <c r="B5" t="s">
        <v>7</v>
      </c>
      <c r="C5" s="2">
        <v>-43000</v>
      </c>
      <c r="D5" t="s">
        <v>0</v>
      </c>
      <c r="E5" t="s">
        <v>0</v>
      </c>
    </row>
    <row r="6" spans="1:5" x14ac:dyDescent="0.35">
      <c r="A6" t="s">
        <v>10</v>
      </c>
      <c r="B6" t="s">
        <v>11</v>
      </c>
      <c r="C6" s="2">
        <v>1000000</v>
      </c>
      <c r="D6" t="s">
        <v>0</v>
      </c>
      <c r="E6" t="s">
        <v>0</v>
      </c>
    </row>
    <row r="7" spans="1:5" x14ac:dyDescent="0.35">
      <c r="A7" t="s">
        <v>10</v>
      </c>
      <c r="B7" t="s">
        <v>11</v>
      </c>
      <c r="C7" s="2">
        <v>2000000</v>
      </c>
      <c r="D7" t="s">
        <v>0</v>
      </c>
      <c r="E7" t="s">
        <v>0</v>
      </c>
    </row>
    <row r="8" spans="1:5" x14ac:dyDescent="0.35">
      <c r="A8" t="s">
        <v>10</v>
      </c>
      <c r="B8" t="s">
        <v>12</v>
      </c>
      <c r="C8" s="2">
        <v>-1654200</v>
      </c>
      <c r="E8" t="s">
        <v>0</v>
      </c>
    </row>
    <row r="9" spans="1:5" x14ac:dyDescent="0.35">
      <c r="A9" t="s">
        <v>10</v>
      </c>
      <c r="B9" t="s">
        <v>13</v>
      </c>
      <c r="C9" s="2">
        <v>-166440</v>
      </c>
      <c r="D9" t="s">
        <v>0</v>
      </c>
      <c r="E9" t="s">
        <v>0</v>
      </c>
    </row>
    <row r="10" spans="1:5" x14ac:dyDescent="0.35">
      <c r="A10" t="s">
        <v>14</v>
      </c>
      <c r="B10" t="s">
        <v>12</v>
      </c>
      <c r="C10" s="2">
        <v>-167600</v>
      </c>
      <c r="E10" t="s">
        <v>0</v>
      </c>
    </row>
    <row r="11" spans="1:5" x14ac:dyDescent="0.35">
      <c r="A11" t="s">
        <v>14</v>
      </c>
      <c r="B11" t="s">
        <v>7</v>
      </c>
      <c r="C11" s="2">
        <v>-500000</v>
      </c>
      <c r="D11" t="s">
        <v>0</v>
      </c>
      <c r="E11" t="s">
        <v>0</v>
      </c>
    </row>
    <row r="12" spans="1:5" x14ac:dyDescent="0.35">
      <c r="A12" t="s">
        <v>14</v>
      </c>
      <c r="B12" t="s">
        <v>7</v>
      </c>
      <c r="C12" s="2">
        <v>-42000</v>
      </c>
      <c r="D12" t="s">
        <v>0</v>
      </c>
      <c r="E12" t="s">
        <v>0</v>
      </c>
    </row>
    <row r="13" spans="1:5" x14ac:dyDescent="0.35">
      <c r="A13" t="s">
        <v>15</v>
      </c>
      <c r="B13" t="s">
        <v>7</v>
      </c>
      <c r="C13" s="2">
        <v>500000</v>
      </c>
      <c r="D13" t="s">
        <v>0</v>
      </c>
      <c r="E13" t="s">
        <v>0</v>
      </c>
    </row>
    <row r="14" spans="1:5" x14ac:dyDescent="0.35">
      <c r="A14" t="s">
        <v>15</v>
      </c>
      <c r="B14" t="s">
        <v>7</v>
      </c>
      <c r="C14" s="2">
        <v>500000</v>
      </c>
      <c r="D14" t="s">
        <v>0</v>
      </c>
      <c r="E14" t="s">
        <v>0</v>
      </c>
    </row>
    <row r="15" spans="1:5" x14ac:dyDescent="0.35">
      <c r="A15" t="s">
        <v>15</v>
      </c>
      <c r="B15" t="s">
        <v>7</v>
      </c>
      <c r="C15" s="2">
        <v>500000</v>
      </c>
      <c r="D15" t="s">
        <v>0</v>
      </c>
      <c r="E15" t="s">
        <v>0</v>
      </c>
    </row>
    <row r="16" spans="1:5" x14ac:dyDescent="0.35">
      <c r="A16" t="s">
        <v>15</v>
      </c>
      <c r="B16" t="s">
        <v>6</v>
      </c>
      <c r="C16" s="2">
        <v>-95000</v>
      </c>
      <c r="D16" t="s">
        <v>0</v>
      </c>
      <c r="E16" t="s">
        <v>0</v>
      </c>
    </row>
    <row r="17" spans="1:5" x14ac:dyDescent="0.35">
      <c r="A17" t="s">
        <v>15</v>
      </c>
      <c r="B17" t="s">
        <v>7</v>
      </c>
      <c r="C17" s="2">
        <v>-200000</v>
      </c>
      <c r="D17" t="s">
        <v>0</v>
      </c>
      <c r="E17" t="s">
        <v>0</v>
      </c>
    </row>
    <row r="18" spans="1:5" x14ac:dyDescent="0.35">
      <c r="A18" t="s">
        <v>15</v>
      </c>
      <c r="B18" t="s">
        <v>7</v>
      </c>
      <c r="C18" s="2">
        <v>-9200</v>
      </c>
      <c r="D18" t="s">
        <v>0</v>
      </c>
      <c r="E18" t="s">
        <v>0</v>
      </c>
    </row>
    <row r="19" spans="1:5" x14ac:dyDescent="0.35">
      <c r="A19" t="s">
        <v>16</v>
      </c>
      <c r="B19" t="s">
        <v>7</v>
      </c>
      <c r="C19" s="2">
        <v>-45000</v>
      </c>
      <c r="D19" t="s">
        <v>0</v>
      </c>
      <c r="E19" t="s">
        <v>0</v>
      </c>
    </row>
    <row r="20" spans="1:5" x14ac:dyDescent="0.35">
      <c r="A20" t="s">
        <v>17</v>
      </c>
      <c r="B20" t="s">
        <v>18</v>
      </c>
      <c r="C20" s="2">
        <v>-289200</v>
      </c>
      <c r="D20" t="s">
        <v>0</v>
      </c>
      <c r="E20" t="s">
        <v>0</v>
      </c>
    </row>
    <row r="21" spans="1:5" x14ac:dyDescent="0.35">
      <c r="A21" t="s">
        <v>19</v>
      </c>
      <c r="B21" t="s">
        <v>20</v>
      </c>
      <c r="C21" s="2">
        <v>5440365</v>
      </c>
      <c r="D21" t="s">
        <v>0</v>
      </c>
      <c r="E21" t="s">
        <v>0</v>
      </c>
    </row>
    <row r="22" spans="1:5" x14ac:dyDescent="0.35">
      <c r="A22" t="s">
        <v>19</v>
      </c>
      <c r="B22" t="s">
        <v>6</v>
      </c>
      <c r="C22" s="2">
        <v>-50000</v>
      </c>
      <c r="D22" s="2">
        <f>SUM($C$2:C22)</f>
        <v>6356225</v>
      </c>
      <c r="E22" t="s">
        <v>0</v>
      </c>
    </row>
    <row r="23" spans="1:5" x14ac:dyDescent="0.35">
      <c r="A23" t="s">
        <v>21</v>
      </c>
      <c r="B23" t="s">
        <v>22</v>
      </c>
      <c r="C23" s="2">
        <v>-6000000</v>
      </c>
      <c r="D23" t="s">
        <v>0</v>
      </c>
      <c r="E23" t="s">
        <v>0</v>
      </c>
    </row>
    <row r="24" spans="1:5" x14ac:dyDescent="0.35">
      <c r="A24" t="s">
        <v>21</v>
      </c>
      <c r="B24" t="s">
        <v>6</v>
      </c>
      <c r="C24" s="2">
        <v>-20000</v>
      </c>
      <c r="D24" t="s">
        <v>0</v>
      </c>
      <c r="E24" t="s">
        <v>0</v>
      </c>
    </row>
    <row r="25" spans="1:5" x14ac:dyDescent="0.35">
      <c r="A25" t="s">
        <v>21</v>
      </c>
      <c r="B25" t="s">
        <v>7</v>
      </c>
      <c r="C25" s="2">
        <v>-30000</v>
      </c>
      <c r="D25" t="s">
        <v>0</v>
      </c>
      <c r="E25" t="s">
        <v>0</v>
      </c>
    </row>
    <row r="26" spans="1:5" x14ac:dyDescent="0.35">
      <c r="A26" t="s">
        <v>21</v>
      </c>
      <c r="B26" t="s">
        <v>7</v>
      </c>
      <c r="C26" s="2">
        <v>-600000</v>
      </c>
      <c r="D26" t="s">
        <v>0</v>
      </c>
      <c r="E26" t="s">
        <v>0</v>
      </c>
    </row>
    <row r="27" spans="1:5" x14ac:dyDescent="0.35">
      <c r="A27" t="s">
        <v>23</v>
      </c>
      <c r="B27" t="s">
        <v>7</v>
      </c>
      <c r="C27" s="2">
        <v>-15000</v>
      </c>
      <c r="D27" t="s">
        <v>0</v>
      </c>
      <c r="E27" t="s">
        <v>48</v>
      </c>
    </row>
    <row r="28" spans="1:5" x14ac:dyDescent="0.35">
      <c r="A28" t="s">
        <v>24</v>
      </c>
      <c r="B28" t="s">
        <v>25</v>
      </c>
      <c r="C28" s="2">
        <v>-16990</v>
      </c>
      <c r="D28" t="s">
        <v>0</v>
      </c>
      <c r="E28" t="s">
        <v>0</v>
      </c>
    </row>
    <row r="29" spans="1:5" x14ac:dyDescent="0.35">
      <c r="A29" t="s">
        <v>26</v>
      </c>
      <c r="B29" t="s">
        <v>7</v>
      </c>
      <c r="C29" s="2">
        <v>1000000</v>
      </c>
      <c r="D29" t="s">
        <v>0</v>
      </c>
      <c r="E29" t="s">
        <v>47</v>
      </c>
    </row>
    <row r="30" spans="1:5" x14ac:dyDescent="0.35">
      <c r="A30" t="s">
        <v>26</v>
      </c>
      <c r="B30" t="s">
        <v>6</v>
      </c>
      <c r="C30" s="2">
        <v>-95000</v>
      </c>
      <c r="D30" t="s">
        <v>0</v>
      </c>
      <c r="E30" t="s">
        <v>0</v>
      </c>
    </row>
    <row r="31" spans="1:5" x14ac:dyDescent="0.35">
      <c r="A31" t="s">
        <v>26</v>
      </c>
      <c r="B31" t="s">
        <v>7</v>
      </c>
      <c r="C31" s="2">
        <v>-731000</v>
      </c>
      <c r="D31" t="s">
        <v>0</v>
      </c>
      <c r="E31" t="s">
        <v>0</v>
      </c>
    </row>
    <row r="32" spans="1:5" x14ac:dyDescent="0.35">
      <c r="A32" t="s">
        <v>26</v>
      </c>
      <c r="B32" t="s">
        <v>7</v>
      </c>
      <c r="C32" s="2">
        <v>-200000</v>
      </c>
      <c r="D32" t="s">
        <v>0</v>
      </c>
      <c r="E32" t="s">
        <v>0</v>
      </c>
    </row>
    <row r="33" spans="1:5" x14ac:dyDescent="0.35">
      <c r="A33" t="s">
        <v>27</v>
      </c>
      <c r="B33" t="s">
        <v>6</v>
      </c>
      <c r="C33" s="2">
        <v>-160000</v>
      </c>
      <c r="D33" t="s">
        <v>0</v>
      </c>
      <c r="E33" t="s">
        <v>0</v>
      </c>
    </row>
    <row r="34" spans="1:5" x14ac:dyDescent="0.35">
      <c r="A34" t="s">
        <v>28</v>
      </c>
      <c r="B34" t="s">
        <v>29</v>
      </c>
      <c r="C34" s="2">
        <v>15000000</v>
      </c>
      <c r="D34" t="s">
        <v>0</v>
      </c>
      <c r="E34" t="s">
        <v>0</v>
      </c>
    </row>
    <row r="35" spans="1:5" x14ac:dyDescent="0.35">
      <c r="A35" t="s">
        <v>28</v>
      </c>
      <c r="B35" t="s">
        <v>11</v>
      </c>
      <c r="C35" s="2">
        <v>8000000</v>
      </c>
      <c r="D35" t="s">
        <v>0</v>
      </c>
      <c r="E35" t="s">
        <v>0</v>
      </c>
    </row>
    <row r="36" spans="1:5" x14ac:dyDescent="0.35">
      <c r="A36" t="s">
        <v>28</v>
      </c>
      <c r="B36" t="s">
        <v>30</v>
      </c>
      <c r="C36" s="2">
        <v>-7000000</v>
      </c>
      <c r="D36" t="s">
        <v>0</v>
      </c>
      <c r="E36" t="s">
        <v>0</v>
      </c>
    </row>
    <row r="37" spans="1:5" x14ac:dyDescent="0.35">
      <c r="A37" t="s">
        <v>28</v>
      </c>
      <c r="B37" t="s">
        <v>31</v>
      </c>
      <c r="C37" s="2">
        <v>-388008.09</v>
      </c>
      <c r="D37" t="s">
        <v>0</v>
      </c>
      <c r="E37" t="s">
        <v>0</v>
      </c>
    </row>
    <row r="38" spans="1:5" x14ac:dyDescent="0.35">
      <c r="A38" t="s">
        <v>32</v>
      </c>
      <c r="B38" t="s">
        <v>30</v>
      </c>
      <c r="C38" s="2">
        <v>-14712217</v>
      </c>
      <c r="D38" t="s">
        <v>0</v>
      </c>
      <c r="E38" t="s">
        <v>0</v>
      </c>
    </row>
    <row r="39" spans="1:5" x14ac:dyDescent="0.35">
      <c r="A39" t="s">
        <v>32</v>
      </c>
      <c r="B39" t="s">
        <v>6</v>
      </c>
      <c r="C39" s="2">
        <v>-100000</v>
      </c>
      <c r="D39" t="s">
        <v>0</v>
      </c>
      <c r="E39" t="s">
        <v>0</v>
      </c>
    </row>
    <row r="40" spans="1:5" x14ac:dyDescent="0.35">
      <c r="A40" t="s">
        <v>32</v>
      </c>
      <c r="B40" t="s">
        <v>7</v>
      </c>
      <c r="C40" s="2">
        <v>-89000</v>
      </c>
      <c r="D40" t="s">
        <v>0</v>
      </c>
      <c r="E40" t="s">
        <v>0</v>
      </c>
    </row>
    <row r="41" spans="1:5" x14ac:dyDescent="0.35">
      <c r="A41" t="s">
        <v>34</v>
      </c>
      <c r="B41" t="s">
        <v>35</v>
      </c>
      <c r="C41" s="2">
        <v>-17800</v>
      </c>
      <c r="D41" t="s">
        <v>0</v>
      </c>
      <c r="E41" t="s">
        <v>0</v>
      </c>
    </row>
    <row r="42" spans="1:5" x14ac:dyDescent="0.35">
      <c r="A42" t="s">
        <v>34</v>
      </c>
      <c r="B42" t="s">
        <v>7</v>
      </c>
      <c r="C42" s="2">
        <v>-62000</v>
      </c>
      <c r="D42" t="s">
        <v>0</v>
      </c>
      <c r="E42" t="s">
        <v>0</v>
      </c>
    </row>
    <row r="43" spans="1:5" x14ac:dyDescent="0.35">
      <c r="A43" t="s">
        <v>36</v>
      </c>
      <c r="B43" t="s">
        <v>11</v>
      </c>
      <c r="C43" s="2">
        <v>1000000</v>
      </c>
      <c r="D43" t="s">
        <v>0</v>
      </c>
      <c r="E43" t="s">
        <v>0</v>
      </c>
    </row>
    <row r="44" spans="1:5" x14ac:dyDescent="0.35">
      <c r="A44" t="s">
        <v>36</v>
      </c>
      <c r="B44" t="s">
        <v>7</v>
      </c>
      <c r="C44" s="2">
        <v>-750000</v>
      </c>
      <c r="D44" t="s">
        <v>0</v>
      </c>
      <c r="E44" t="s">
        <v>0</v>
      </c>
    </row>
    <row r="45" spans="1:5" x14ac:dyDescent="0.35">
      <c r="A45" t="s">
        <v>36</v>
      </c>
      <c r="B45" t="s">
        <v>7</v>
      </c>
      <c r="C45" s="2">
        <v>-40000</v>
      </c>
      <c r="D45" t="s">
        <v>0</v>
      </c>
      <c r="E45" t="s">
        <v>0</v>
      </c>
    </row>
    <row r="46" spans="1:5" x14ac:dyDescent="0.35">
      <c r="A46" t="s">
        <v>36</v>
      </c>
      <c r="B46" t="s">
        <v>7</v>
      </c>
      <c r="C46" s="2">
        <v>-90000</v>
      </c>
      <c r="D46" t="s">
        <v>0</v>
      </c>
      <c r="E46" t="s">
        <v>0</v>
      </c>
    </row>
    <row r="47" spans="1:5" x14ac:dyDescent="0.35">
      <c r="A47" t="s">
        <v>37</v>
      </c>
      <c r="B47" t="s">
        <v>6</v>
      </c>
      <c r="C47" s="2">
        <v>-95000</v>
      </c>
      <c r="D47" s="2">
        <f>SUM($C$2:C47)</f>
        <v>144209.91000000015</v>
      </c>
      <c r="E47" t="s">
        <v>0</v>
      </c>
    </row>
    <row r="48" spans="1:5" x14ac:dyDescent="0.35">
      <c r="A48" t="s">
        <v>37</v>
      </c>
      <c r="B48" t="s">
        <v>7</v>
      </c>
      <c r="C48" s="2">
        <v>-200000</v>
      </c>
      <c r="D48" t="s">
        <v>0</v>
      </c>
      <c r="E48" t="s">
        <v>0</v>
      </c>
    </row>
    <row r="49" spans="1:5" x14ac:dyDescent="0.35">
      <c r="A49" t="s">
        <v>38</v>
      </c>
      <c r="B49" t="s">
        <v>7</v>
      </c>
      <c r="C49" s="2">
        <v>-250000</v>
      </c>
      <c r="D49" t="s">
        <v>0</v>
      </c>
      <c r="E49" t="s">
        <v>0</v>
      </c>
    </row>
    <row r="50" spans="1:5" x14ac:dyDescent="0.35">
      <c r="A50" t="s">
        <v>38</v>
      </c>
      <c r="B50" t="s">
        <v>7</v>
      </c>
      <c r="C50" s="2">
        <v>-250000</v>
      </c>
      <c r="D50" t="s">
        <v>0</v>
      </c>
      <c r="E50" t="s">
        <v>0</v>
      </c>
    </row>
    <row r="51" spans="1:5" x14ac:dyDescent="0.35">
      <c r="A51" t="s">
        <v>38</v>
      </c>
      <c r="B51" t="s">
        <v>7</v>
      </c>
      <c r="C51" s="2">
        <v>-121000</v>
      </c>
      <c r="D51" t="s">
        <v>0</v>
      </c>
      <c r="E51" t="s">
        <v>0</v>
      </c>
    </row>
    <row r="52" spans="1:5" x14ac:dyDescent="0.35">
      <c r="A52" t="s">
        <v>39</v>
      </c>
      <c r="B52" t="s">
        <v>20</v>
      </c>
      <c r="C52" s="2">
        <v>5440365</v>
      </c>
      <c r="D52" t="s">
        <v>0</v>
      </c>
      <c r="E52" t="s">
        <v>0</v>
      </c>
    </row>
    <row r="53" spans="1:5" x14ac:dyDescent="0.35">
      <c r="A53" t="s">
        <v>40</v>
      </c>
      <c r="B53" t="s">
        <v>7</v>
      </c>
      <c r="C53" s="2">
        <v>-100000</v>
      </c>
      <c r="D53" t="s">
        <v>0</v>
      </c>
      <c r="E53" t="s">
        <v>0</v>
      </c>
    </row>
    <row r="54" spans="1:5" x14ac:dyDescent="0.35">
      <c r="A54" t="s">
        <v>41</v>
      </c>
      <c r="B54" t="s">
        <v>42</v>
      </c>
      <c r="C54" s="2">
        <v>5478230</v>
      </c>
      <c r="D54" t="s">
        <v>0</v>
      </c>
      <c r="E54" t="s">
        <v>0</v>
      </c>
    </row>
    <row r="55" spans="1:5" x14ac:dyDescent="0.35">
      <c r="A55" t="s">
        <v>41</v>
      </c>
      <c r="B55" t="s">
        <v>7</v>
      </c>
      <c r="C55" s="2">
        <v>-497000</v>
      </c>
      <c r="D55" t="s">
        <v>0</v>
      </c>
      <c r="E55" t="s">
        <v>0</v>
      </c>
    </row>
    <row r="56" spans="1:5" x14ac:dyDescent="0.35">
      <c r="A56" t="s">
        <v>43</v>
      </c>
      <c r="B56" t="s">
        <v>22</v>
      </c>
      <c r="C56" s="2">
        <v>-9000000</v>
      </c>
      <c r="D56" t="s">
        <v>0</v>
      </c>
      <c r="E56" t="s">
        <v>0</v>
      </c>
    </row>
    <row r="57" spans="1:5" x14ac:dyDescent="0.35">
      <c r="A57" t="s">
        <v>43</v>
      </c>
      <c r="B57" t="s">
        <v>7</v>
      </c>
      <c r="C57" s="2">
        <v>-78000</v>
      </c>
      <c r="D57" t="s">
        <v>0</v>
      </c>
      <c r="E57" t="s">
        <v>0</v>
      </c>
    </row>
    <row r="58" spans="1:5" x14ac:dyDescent="0.35">
      <c r="A58" t="s">
        <v>44</v>
      </c>
      <c r="B58" t="s">
        <v>18</v>
      </c>
      <c r="C58" s="2">
        <v>-15200</v>
      </c>
      <c r="D58" t="s">
        <v>0</v>
      </c>
      <c r="E58" t="s">
        <v>0</v>
      </c>
    </row>
    <row r="59" spans="1:5" x14ac:dyDescent="0.35">
      <c r="A59" t="s">
        <v>44</v>
      </c>
      <c r="B59" t="s">
        <v>6</v>
      </c>
      <c r="C59" s="2">
        <v>-95000</v>
      </c>
      <c r="D59" t="s">
        <v>0</v>
      </c>
      <c r="E59" t="s">
        <v>0</v>
      </c>
    </row>
    <row r="60" spans="1:5" x14ac:dyDescent="0.35">
      <c r="A60" t="s">
        <v>44</v>
      </c>
      <c r="B60" t="s">
        <v>7</v>
      </c>
      <c r="C60" s="2">
        <v>-200000</v>
      </c>
      <c r="D60" t="s">
        <v>0</v>
      </c>
      <c r="E60" t="s">
        <v>0</v>
      </c>
    </row>
    <row r="61" spans="1:5" x14ac:dyDescent="0.35">
      <c r="A61" t="s">
        <v>44</v>
      </c>
      <c r="B61" t="s">
        <v>7</v>
      </c>
      <c r="C61" s="2">
        <v>-127000</v>
      </c>
      <c r="D61" t="s">
        <v>0</v>
      </c>
      <c r="E61" t="s">
        <v>0</v>
      </c>
    </row>
    <row r="62" spans="1:5" x14ac:dyDescent="0.35">
      <c r="A62" t="s">
        <v>44</v>
      </c>
      <c r="B62" t="s">
        <v>7</v>
      </c>
      <c r="C62" s="2">
        <v>-731000</v>
      </c>
      <c r="D62" t="s">
        <v>0</v>
      </c>
      <c r="E62" t="s">
        <v>0</v>
      </c>
    </row>
    <row r="63" spans="1:5" x14ac:dyDescent="0.35">
      <c r="A63" t="s">
        <v>45</v>
      </c>
      <c r="B63" t="s">
        <v>7</v>
      </c>
      <c r="C63" s="2">
        <v>-19000</v>
      </c>
      <c r="D63" t="s">
        <v>0</v>
      </c>
      <c r="E63" t="s">
        <v>0</v>
      </c>
    </row>
    <row r="64" spans="1:5" x14ac:dyDescent="0.35">
      <c r="A64" t="s">
        <v>46</v>
      </c>
      <c r="B64" t="s">
        <v>11</v>
      </c>
      <c r="C64" s="2">
        <v>1000000</v>
      </c>
      <c r="D64" t="s">
        <v>0</v>
      </c>
      <c r="E64" t="s">
        <v>0</v>
      </c>
    </row>
    <row r="65" spans="1:5" x14ac:dyDescent="0.35">
      <c r="A65" t="s">
        <v>46</v>
      </c>
      <c r="B65" t="s">
        <v>8</v>
      </c>
      <c r="C65" s="2">
        <v>86</v>
      </c>
      <c r="D65" t="s">
        <v>0</v>
      </c>
      <c r="E65" t="s">
        <v>0</v>
      </c>
    </row>
    <row r="66" spans="1:5" x14ac:dyDescent="0.35">
      <c r="A66" t="s">
        <v>46</v>
      </c>
      <c r="B66" t="s">
        <v>6</v>
      </c>
      <c r="C66" s="2">
        <v>-62800</v>
      </c>
      <c r="D66" t="s">
        <v>0</v>
      </c>
      <c r="E66" t="s">
        <v>0</v>
      </c>
    </row>
    <row r="67" spans="1:5" x14ac:dyDescent="0.35">
      <c r="A67" t="s">
        <v>46</v>
      </c>
      <c r="B67" t="s">
        <v>33</v>
      </c>
      <c r="C67" s="2">
        <v>-60277</v>
      </c>
      <c r="D67" s="2">
        <f>SUM($C$2:C67)</f>
        <v>256613.91000000015</v>
      </c>
      <c r="E67" t="s">
        <v>0</v>
      </c>
    </row>
  </sheetData>
  <autoFilter ref="A1:E6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2024-10-20T13:37:38Z</dcterms:modified>
</cp:coreProperties>
</file>