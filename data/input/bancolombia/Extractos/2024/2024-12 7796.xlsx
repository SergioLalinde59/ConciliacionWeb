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33" documentId="11_620F77B53748A9A827FFF5441B1F66383771855B" xr6:coauthVersionLast="47" xr6:coauthVersionMax="47" xr10:uidLastSave="{57F339C5-B4FE-430E-92E7-8A9E81E0B792}"/>
  <bookViews>
    <workbookView xWindow="57495" yWindow="0" windowWidth="22590" windowHeight="20985" activeTab="1" xr2:uid="{00000000-000D-0000-FFFF-FFFF00000000}"/>
  </bookViews>
  <sheets>
    <sheet name="DOLARES" sheetId="1" r:id="rId1"/>
    <sheet name="PE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2" l="1"/>
  <c r="E29" i="2"/>
  <c r="E15" i="2"/>
  <c r="E7" i="2"/>
  <c r="E5" i="1" l="1"/>
</calcChain>
</file>

<file path=xl/sharedStrings.xml><?xml version="1.0" encoding="utf-8"?>
<sst xmlns="http://schemas.openxmlformats.org/spreadsheetml/2006/main" count="159" uniqueCount="110">
  <si>
    <t/>
  </si>
  <si>
    <t>30/11/2024</t>
  </si>
  <si>
    <t>30/12/2024</t>
  </si>
  <si>
    <t>Número de Autorización</t>
  </si>
  <si>
    <t>Fecha de Transacción</t>
  </si>
  <si>
    <t>Descripción</t>
  </si>
  <si>
    <t>Valor Original</t>
  </si>
  <si>
    <t>T01770</t>
  </si>
  <si>
    <t>27/12/2024</t>
  </si>
  <si>
    <t>APPLE.COM/BILL</t>
  </si>
  <si>
    <t>R08104</t>
  </si>
  <si>
    <t>20/12/2024</t>
  </si>
  <si>
    <t>OPENAI *CHATGPT SUBSCR</t>
  </si>
  <si>
    <t>C01475</t>
  </si>
  <si>
    <t>16/12/2024</t>
  </si>
  <si>
    <t>ABONO SUCURSAL VIRTUAL</t>
  </si>
  <si>
    <t>T05988</t>
  </si>
  <si>
    <t>13/12/2024</t>
  </si>
  <si>
    <t>Adobe</t>
  </si>
  <si>
    <t>VR MONEDA ORIG 19583.0 IRL</t>
  </si>
  <si>
    <t>000000</t>
  </si>
  <si>
    <t>CUOTA DE MANEJO</t>
  </si>
  <si>
    <t>R08066</t>
  </si>
  <si>
    <t>28/12/2024</t>
  </si>
  <si>
    <t>EXITO LA CEJA</t>
  </si>
  <si>
    <t>R02597</t>
  </si>
  <si>
    <t>MERCOLANTA MONTE MADER</t>
  </si>
  <si>
    <t>R01544</t>
  </si>
  <si>
    <t>TIENDA D1 CANTARRANA</t>
  </si>
  <si>
    <t>R08696</t>
  </si>
  <si>
    <t>R04240</t>
  </si>
  <si>
    <t>26/12/2024</t>
  </si>
  <si>
    <t>DROGUERIA PASTEUR TERP</t>
  </si>
  <si>
    <t>R02941</t>
  </si>
  <si>
    <t>25/12/2024</t>
  </si>
  <si>
    <t>IKEA ECOMMERCE</t>
  </si>
  <si>
    <t>T01950</t>
  </si>
  <si>
    <t>24/12/2024</t>
  </si>
  <si>
    <t>RECARGA AUTOMATICA FLYPASS</t>
  </si>
  <si>
    <t>R8712Z</t>
  </si>
  <si>
    <t>TIGO SERVICIOS HOGAR Y</t>
  </si>
  <si>
    <t>R05436</t>
  </si>
  <si>
    <t>AMAZON.COM</t>
  </si>
  <si>
    <t>R08714</t>
  </si>
  <si>
    <t>23/12/2024</t>
  </si>
  <si>
    <t>R09545</t>
  </si>
  <si>
    <t>R4766Z</t>
  </si>
  <si>
    <t>22/12/2024</t>
  </si>
  <si>
    <t>EPM SERVICIOS PUBLICOS</t>
  </si>
  <si>
    <t>R4767Z</t>
  </si>
  <si>
    <t>R04361</t>
  </si>
  <si>
    <t>21/12/2024</t>
  </si>
  <si>
    <t>R07065</t>
  </si>
  <si>
    <t>DOLLARCITY VIVA LA CEJ</t>
  </si>
  <si>
    <t>T04420</t>
  </si>
  <si>
    <t>DLO*GOOGLE YouTubePrem</t>
  </si>
  <si>
    <t>R0220Z</t>
  </si>
  <si>
    <t>19/12/2024</t>
  </si>
  <si>
    <t>R01866</t>
  </si>
  <si>
    <t>18/12/2024</t>
  </si>
  <si>
    <t>FIJACIONES OROZCO</t>
  </si>
  <si>
    <t>R08090</t>
  </si>
  <si>
    <t>PRICESMART</t>
  </si>
  <si>
    <t>C07763</t>
  </si>
  <si>
    <t>C01368</t>
  </si>
  <si>
    <t>R01482</t>
  </si>
  <si>
    <t>SURAMERICANA SEGUROS D</t>
  </si>
  <si>
    <t>R01500</t>
  </si>
  <si>
    <t>R2912Z</t>
  </si>
  <si>
    <t>15/12/2024</t>
  </si>
  <si>
    <t>CORPAUL</t>
  </si>
  <si>
    <t>R4173Z</t>
  </si>
  <si>
    <t>11/12/2024</t>
  </si>
  <si>
    <t>R01287</t>
  </si>
  <si>
    <t>MATERIALES MAESTRO COL</t>
  </si>
  <si>
    <t>R03203</t>
  </si>
  <si>
    <t>10/12/2024</t>
  </si>
  <si>
    <t>SUPERMERC LA VAQUITA P</t>
  </si>
  <si>
    <t>R09957</t>
  </si>
  <si>
    <t>TRES TRIGOS</t>
  </si>
  <si>
    <t>R09805</t>
  </si>
  <si>
    <t>BOLD CO ONLINE</t>
  </si>
  <si>
    <t>R04522</t>
  </si>
  <si>
    <t>FALABELLA</t>
  </si>
  <si>
    <t>R00950</t>
  </si>
  <si>
    <t>09/12/2024</t>
  </si>
  <si>
    <t>SUPERINTENDENCIA DE NO</t>
  </si>
  <si>
    <t>R08427</t>
  </si>
  <si>
    <t>U00663</t>
  </si>
  <si>
    <t>MUNICIPIO DE LA CEJA</t>
  </si>
  <si>
    <t>R02477</t>
  </si>
  <si>
    <t>06/12/2024</t>
  </si>
  <si>
    <t>R07902</t>
  </si>
  <si>
    <t>R07610</t>
  </si>
  <si>
    <t>NETFLIX DL</t>
  </si>
  <si>
    <t>R8034Z</t>
  </si>
  <si>
    <t>05/12/2024</t>
  </si>
  <si>
    <t>R01663</t>
  </si>
  <si>
    <t>MOVISTAR EPAYCO RECAR</t>
  </si>
  <si>
    <t>R02296</t>
  </si>
  <si>
    <t>03/12/2024</t>
  </si>
  <si>
    <t>T09354</t>
  </si>
  <si>
    <t>01/12/2024</t>
  </si>
  <si>
    <t>MERCADO PAGO LIMITADA</t>
  </si>
  <si>
    <t>R07814</t>
  </si>
  <si>
    <t>R05616</t>
  </si>
  <si>
    <t>R00127</t>
  </si>
  <si>
    <t>R03958</t>
  </si>
  <si>
    <t>29/11/2024</t>
  </si>
  <si>
    <t>INV Y REPRESENTACIONES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</si>
</sst>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_ ;[Red]\-#,##0.00\ "/>
    <numFmt numFmtId="166" formatCode="#,##0_ ;[Red]\-#,##0\ "/>
  </numFmts>
  <fonts count="209" x14ac:knownFonts="1">
    <font>
      <sz val="11"/>
      <name val="Calibri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165" fontId="4" fillId="0" borderId="0" xfId="0" applyNumberFormat="1" applyFont="1"/>
    <xf numFmtId="165" fontId="8" fillId="0" borderId="0" xfId="0" applyNumberFormat="1" applyFont="1"/>
    <xf numFmtId="165" fontId="12" fillId="0" borderId="0" xfId="0" applyNumberFormat="1" applyFont="1"/>
    <xf numFmtId="165" fontId="16" fillId="0" borderId="0" xfId="0" applyNumberFormat="1" applyFont="1"/>
    <xf numFmtId="165" fontId="20" fillId="0" borderId="0" xfId="0" applyNumberFormat="1" applyFont="1"/>
    <xf numFmtId="165" fontId="24" fillId="0" borderId="0" xfId="0" applyNumberFormat="1" applyFont="1"/>
    <xf numFmtId="165" fontId="0" fillId="0" borderId="0" xfId="0" applyNumberFormat="1"/>
    <xf numFmtId="166" fontId="28" fillId="0" borderId="0" xfId="0" applyNumberFormat="1" applyFont="1"/>
    <xf numFmtId="166" fontId="208" fillId="0" borderId="0" xfId="0" applyNumberFormat="1" applyFont="1"/>
    <xf numFmtId="166" fontId="196" fillId="0" borderId="0" xfId="0" applyNumberFormat="1" applyFont="1"/>
    <xf numFmtId="166" fontId="200" fillId="0" borderId="0" xfId="0" applyNumberFormat="1" applyFont="1"/>
    <xf numFmtId="166" fontId="204" fillId="0" borderId="0" xfId="0" applyNumberFormat="1" applyFont="1"/>
    <xf numFmtId="166" fontId="192" fillId="0" borderId="0" xfId="0" applyNumberFormat="1" applyFont="1"/>
    <xf numFmtId="166" fontId="188" fillId="0" borderId="0" xfId="0" applyNumberFormat="1" applyFont="1"/>
    <xf numFmtId="166" fontId="180" fillId="0" borderId="0" xfId="0" applyNumberFormat="1" applyFont="1"/>
    <xf numFmtId="166" fontId="184" fillId="0" borderId="0" xfId="0" applyNumberFormat="1" applyFont="1"/>
    <xf numFmtId="166" fontId="168" fillId="0" borderId="0" xfId="0" applyNumberFormat="1" applyFont="1"/>
    <xf numFmtId="166" fontId="172" fillId="0" borderId="0" xfId="0" applyNumberFormat="1" applyFont="1"/>
    <xf numFmtId="166" fontId="176" fillId="0" borderId="0" xfId="0" applyNumberFormat="1" applyFont="1"/>
    <xf numFmtId="166" fontId="156" fillId="0" borderId="0" xfId="0" applyNumberFormat="1" applyFont="1"/>
    <xf numFmtId="166" fontId="160" fillId="0" borderId="0" xfId="0" applyNumberFormat="1" applyFont="1"/>
    <xf numFmtId="166" fontId="164" fillId="0" borderId="0" xfId="0" applyNumberFormat="1" applyFont="1"/>
    <xf numFmtId="166" fontId="140" fillId="0" borderId="0" xfId="0" applyNumberFormat="1" applyFont="1"/>
    <xf numFmtId="166" fontId="144" fillId="0" borderId="0" xfId="0" applyNumberFormat="1" applyFont="1"/>
    <xf numFmtId="166" fontId="148" fillId="0" borderId="0" xfId="0" applyNumberFormat="1" applyFont="1"/>
    <xf numFmtId="166" fontId="152" fillId="0" borderId="0" xfId="0" applyNumberFormat="1" applyFont="1"/>
    <xf numFmtId="166" fontId="132" fillId="0" borderId="0" xfId="0" applyNumberFormat="1" applyFont="1"/>
    <xf numFmtId="166" fontId="136" fillId="0" borderId="0" xfId="0" applyNumberFormat="1" applyFont="1"/>
    <xf numFmtId="166" fontId="128" fillId="0" borderId="0" xfId="0" applyNumberFormat="1" applyFont="1"/>
    <xf numFmtId="166" fontId="112" fillId="0" borderId="0" xfId="0" applyNumberFormat="1" applyFont="1"/>
    <xf numFmtId="166" fontId="116" fillId="0" borderId="0" xfId="0" applyNumberFormat="1" applyFont="1"/>
    <xf numFmtId="166" fontId="120" fillId="0" borderId="0" xfId="0" applyNumberFormat="1" applyFont="1"/>
    <xf numFmtId="166" fontId="124" fillId="0" borderId="0" xfId="0" applyNumberFormat="1" applyFont="1"/>
    <xf numFmtId="166" fontId="104" fillId="0" borderId="0" xfId="0" applyNumberFormat="1" applyFont="1"/>
    <xf numFmtId="166" fontId="108" fillId="0" borderId="0" xfId="0" applyNumberFormat="1" applyFont="1"/>
    <xf numFmtId="166" fontId="100" fillId="0" borderId="0" xfId="0" applyNumberFormat="1" applyFont="1"/>
    <xf numFmtId="166" fontId="88" fillId="0" borderId="0" xfId="0" applyNumberFormat="1" applyFont="1"/>
    <xf numFmtId="166" fontId="92" fillId="0" borderId="0" xfId="0" applyNumberFormat="1" applyFont="1"/>
    <xf numFmtId="166" fontId="96" fillId="0" borderId="0" xfId="0" applyNumberFormat="1" applyFont="1"/>
    <xf numFmtId="166" fontId="80" fillId="0" borderId="0" xfId="0" applyNumberFormat="1" applyFont="1"/>
    <xf numFmtId="166" fontId="84" fillId="0" borderId="0" xfId="0" applyNumberFormat="1" applyFont="1"/>
    <xf numFmtId="166" fontId="72" fillId="0" borderId="0" xfId="0" applyNumberFormat="1" applyFont="1"/>
    <xf numFmtId="166" fontId="76" fillId="0" borderId="0" xfId="0" applyNumberFormat="1" applyFont="1"/>
    <xf numFmtId="166" fontId="60" fillId="0" borderId="0" xfId="0" applyNumberFormat="1" applyFont="1"/>
    <xf numFmtId="166" fontId="64" fillId="0" borderId="0" xfId="0" applyNumberFormat="1" applyFont="1"/>
    <xf numFmtId="166" fontId="68" fillId="0" borderId="0" xfId="0" applyNumberFormat="1" applyFont="1"/>
    <xf numFmtId="166" fontId="56" fillId="0" borderId="0" xfId="0" applyNumberFormat="1" applyFont="1"/>
    <xf numFmtId="166" fontId="52" fillId="0" borderId="0" xfId="0" applyNumberFormat="1" applyFont="1"/>
    <xf numFmtId="166" fontId="48" fillId="0" borderId="0" xfId="0" applyNumberFormat="1" applyFont="1"/>
    <xf numFmtId="166" fontId="36" fillId="0" borderId="0" xfId="0" applyNumberFormat="1" applyFont="1"/>
    <xf numFmtId="166" fontId="40" fillId="0" borderId="0" xfId="0" applyNumberFormat="1" applyFont="1"/>
    <xf numFmtId="166" fontId="44" fillId="0" borderId="0" xfId="0" applyNumberFormat="1" applyFont="1"/>
    <xf numFmtId="166" fontId="3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F5" sqref="F5"/>
    </sheetView>
  </sheetViews>
  <sheetFormatPr baseColWidth="10" defaultRowHeight="15.5" x14ac:dyDescent="0.35"/>
  <cols>
    <col min="1" max="2" width="12" customWidth="1"/>
    <col min="3" max="3" width="26.453125" bestFit="1" customWidth="1"/>
    <col min="4" max="4" width="12" style="163" customWidth="1"/>
  </cols>
  <sheetData>
    <row r="1" spans="1:5" ht="14.5" x14ac:dyDescent="0.35">
      <c r="A1" s="1" t="s">
        <v>3</v>
      </c>
      <c r="B1" s="2" t="s">
        <v>4</v>
      </c>
      <c r="C1" s="3" t="s">
        <v>5</v>
      </c>
      <c r="D1" s="157" t="s">
        <v>6</v>
      </c>
    </row>
    <row r="2" spans="1:5" ht="14.5" x14ac:dyDescent="0.35">
      <c r="A2" s="4" t="s">
        <v>7</v>
      </c>
      <c r="B2" s="5" t="s">
        <v>8</v>
      </c>
      <c r="C2" s="6" t="s">
        <v>9</v>
      </c>
      <c r="D2" s="158">
        <v>2.93</v>
      </c>
    </row>
    <row r="3" spans="1:5" ht="14.5" x14ac:dyDescent="0.35">
      <c r="A3" s="7" t="s">
        <v>10</v>
      </c>
      <c r="B3" s="8" t="s">
        <v>11</v>
      </c>
      <c r="C3" s="9" t="s">
        <v>12</v>
      </c>
      <c r="D3" s="159">
        <v>20</v>
      </c>
    </row>
    <row r="4" spans="1:5" ht="14.5" x14ac:dyDescent="0.35">
      <c r="A4" s="10" t="s">
        <v>13</v>
      </c>
      <c r="B4" s="11" t="s">
        <v>14</v>
      </c>
      <c r="C4" s="12" t="s">
        <v>15</v>
      </c>
      <c r="D4" s="160">
        <v>-16</v>
      </c>
    </row>
    <row r="5" spans="1:5" ht="14.5" x14ac:dyDescent="0.35">
      <c r="A5" s="13" t="s">
        <v>16</v>
      </c>
      <c r="B5" s="14" t="s">
        <v>17</v>
      </c>
      <c r="C5" s="15" t="s">
        <v>18</v>
      </c>
      <c r="D5" s="161">
        <v>4.49</v>
      </c>
      <c r="E5" s="163">
        <f>SUM(D2:D5)</f>
        <v>11.42</v>
      </c>
    </row>
    <row r="6" spans="1:5" ht="14.5" x14ac:dyDescent="0.35">
      <c r="A6" s="16" t="s">
        <v>0</v>
      </c>
      <c r="B6" s="17" t="s">
        <v>0</v>
      </c>
      <c r="C6" s="18" t="s">
        <v>19</v>
      </c>
      <c r="D6" s="162" t="s">
        <v>0</v>
      </c>
    </row>
    <row r="8" spans="1:5" ht="14.5" x14ac:dyDescent="0.35"/>
    <row r="9" spans="1:5" ht="14.5" x14ac:dyDescent="0.35"/>
    <row r="10" spans="1:5" ht="14.5" x14ac:dyDescent="0.35"/>
    <row r="12" spans="1:5" ht="14.5" x14ac:dyDescent="0.35"/>
    <row r="13" spans="1:5" ht="14.5" x14ac:dyDescent="0.35"/>
    <row r="15" spans="1:5" ht="14.5" x14ac:dyDescent="0.35"/>
    <row r="16" spans="1:5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7" ht="14.5" x14ac:dyDescent="0.35"/>
    <row r="28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tabSelected="1" workbookViewId="0">
      <selection activeCell="D16" sqref="D16"/>
    </sheetView>
  </sheetViews>
  <sheetFormatPr baseColWidth="10" defaultRowHeight="15.5" x14ac:dyDescent="0.35"/>
  <cols>
    <col min="1" max="2" width="12" customWidth="1"/>
    <col min="3" max="3" width="27.7265625" bestFit="1" customWidth="1"/>
    <col min="4" max="8" width="12" style="210" customWidth="1"/>
  </cols>
  <sheetData>
    <row r="1" spans="1:8" ht="14.5" x14ac:dyDescent="0.35">
      <c r="A1" s="19" t="s">
        <v>3</v>
      </c>
      <c r="B1" s="20" t="s">
        <v>4</v>
      </c>
      <c r="C1" s="21" t="s">
        <v>5</v>
      </c>
      <c r="D1" s="164" t="s">
        <v>6</v>
      </c>
      <c r="E1" s="164"/>
      <c r="F1" s="164"/>
      <c r="G1" s="164"/>
      <c r="H1" s="164"/>
    </row>
    <row r="2" spans="1:8" ht="14.5" x14ac:dyDescent="0.35">
      <c r="A2" s="154" t="s">
        <v>107</v>
      </c>
      <c r="B2" s="155" t="s">
        <v>108</v>
      </c>
      <c r="C2" s="156" t="s">
        <v>109</v>
      </c>
      <c r="D2" s="165">
        <v>238400</v>
      </c>
      <c r="E2" s="165"/>
      <c r="F2" s="165"/>
      <c r="G2" s="165"/>
      <c r="H2" s="165"/>
    </row>
    <row r="3" spans="1:8" ht="14.5" x14ac:dyDescent="0.35">
      <c r="A3" s="145" t="s">
        <v>104</v>
      </c>
      <c r="B3" s="146" t="s">
        <v>1</v>
      </c>
      <c r="C3" s="147" t="s">
        <v>53</v>
      </c>
      <c r="D3" s="166">
        <v>63000</v>
      </c>
      <c r="E3" s="166"/>
      <c r="F3" s="166"/>
      <c r="G3" s="166"/>
      <c r="H3" s="166"/>
    </row>
    <row r="4" spans="1:8" ht="14.5" x14ac:dyDescent="0.35">
      <c r="A4" s="148" t="s">
        <v>105</v>
      </c>
      <c r="B4" s="149" t="s">
        <v>1</v>
      </c>
      <c r="C4" s="150" t="s">
        <v>32</v>
      </c>
      <c r="D4" s="167">
        <v>179036</v>
      </c>
      <c r="E4" s="167"/>
      <c r="F4" s="167"/>
      <c r="G4" s="167"/>
      <c r="H4" s="167"/>
    </row>
    <row r="5" spans="1:8" ht="14.5" x14ac:dyDescent="0.35">
      <c r="A5" s="151" t="s">
        <v>106</v>
      </c>
      <c r="B5" s="152" t="s">
        <v>1</v>
      </c>
      <c r="C5" s="153" t="s">
        <v>26</v>
      </c>
      <c r="D5" s="168">
        <v>78450</v>
      </c>
      <c r="E5" s="168"/>
      <c r="F5" s="168"/>
      <c r="G5" s="168"/>
      <c r="H5" s="168"/>
    </row>
    <row r="6" spans="1:8" ht="14.5" x14ac:dyDescent="0.35">
      <c r="A6" s="142" t="s">
        <v>101</v>
      </c>
      <c r="B6" s="143" t="s">
        <v>102</v>
      </c>
      <c r="C6" s="144" t="s">
        <v>103</v>
      </c>
      <c r="D6" s="169">
        <v>358579</v>
      </c>
      <c r="E6" s="169"/>
      <c r="F6" s="169"/>
      <c r="G6" s="169"/>
      <c r="H6" s="169"/>
    </row>
    <row r="7" spans="1:8" ht="14.5" x14ac:dyDescent="0.35">
      <c r="A7" s="139" t="s">
        <v>99</v>
      </c>
      <c r="B7" s="140" t="s">
        <v>100</v>
      </c>
      <c r="C7" s="141" t="s">
        <v>62</v>
      </c>
      <c r="D7" s="170">
        <v>982400</v>
      </c>
      <c r="E7" s="178">
        <f>SUM($D$2:D7)</f>
        <v>1899865</v>
      </c>
      <c r="F7" s="170"/>
      <c r="G7" s="170"/>
      <c r="H7" s="170"/>
    </row>
    <row r="8" spans="1:8" ht="14.5" x14ac:dyDescent="0.35">
      <c r="A8" s="133" t="s">
        <v>95</v>
      </c>
      <c r="B8" s="134" t="s">
        <v>96</v>
      </c>
      <c r="C8" s="135" t="s">
        <v>40</v>
      </c>
      <c r="D8" s="171">
        <v>42320</v>
      </c>
      <c r="E8" s="171"/>
      <c r="F8" s="171"/>
      <c r="G8" s="171"/>
      <c r="H8" s="171"/>
    </row>
    <row r="9" spans="1:8" ht="14.5" x14ac:dyDescent="0.35">
      <c r="A9" s="136" t="s">
        <v>97</v>
      </c>
      <c r="B9" s="137" t="s">
        <v>96</v>
      </c>
      <c r="C9" s="138" t="s">
        <v>98</v>
      </c>
      <c r="D9" s="172">
        <v>3000</v>
      </c>
      <c r="E9" s="172"/>
      <c r="F9" s="172"/>
      <c r="G9" s="172"/>
      <c r="H9" s="172"/>
    </row>
    <row r="10" spans="1:8" ht="14.5" x14ac:dyDescent="0.35">
      <c r="A10" s="124" t="s">
        <v>90</v>
      </c>
      <c r="B10" s="125" t="s">
        <v>91</v>
      </c>
      <c r="C10" s="126" t="s">
        <v>24</v>
      </c>
      <c r="D10" s="173">
        <v>213150</v>
      </c>
      <c r="E10" s="173"/>
      <c r="F10" s="173"/>
      <c r="G10" s="173"/>
      <c r="H10" s="173"/>
    </row>
    <row r="11" spans="1:8" ht="14.5" x14ac:dyDescent="0.35">
      <c r="A11" s="127" t="s">
        <v>92</v>
      </c>
      <c r="B11" s="128" t="s">
        <v>91</v>
      </c>
      <c r="C11" s="129" t="s">
        <v>28</v>
      </c>
      <c r="D11" s="174">
        <v>85440</v>
      </c>
      <c r="E11" s="174"/>
      <c r="F11" s="174"/>
      <c r="G11" s="174"/>
      <c r="H11" s="174"/>
    </row>
    <row r="12" spans="1:8" ht="14.5" x14ac:dyDescent="0.35">
      <c r="A12" s="130" t="s">
        <v>93</v>
      </c>
      <c r="B12" s="131" t="s">
        <v>91</v>
      </c>
      <c r="C12" s="132" t="s">
        <v>94</v>
      </c>
      <c r="D12" s="175">
        <v>44900</v>
      </c>
      <c r="E12" s="175"/>
      <c r="F12" s="175"/>
      <c r="G12" s="175"/>
      <c r="H12" s="175"/>
    </row>
    <row r="13" spans="1:8" ht="14.5" x14ac:dyDescent="0.35">
      <c r="A13" s="115" t="s">
        <v>84</v>
      </c>
      <c r="B13" s="116" t="s">
        <v>85</v>
      </c>
      <c r="C13" s="117" t="s">
        <v>86</v>
      </c>
      <c r="D13" s="176">
        <v>20900</v>
      </c>
      <c r="E13" s="176"/>
      <c r="F13" s="176"/>
      <c r="G13" s="176"/>
      <c r="H13" s="176"/>
    </row>
    <row r="14" spans="1:8" ht="14.5" x14ac:dyDescent="0.35">
      <c r="A14" s="118" t="s">
        <v>87</v>
      </c>
      <c r="B14" s="119" t="s">
        <v>85</v>
      </c>
      <c r="C14" s="120" t="s">
        <v>26</v>
      </c>
      <c r="D14" s="177">
        <v>81900</v>
      </c>
      <c r="E14" s="177"/>
      <c r="F14" s="177"/>
      <c r="G14" s="177"/>
      <c r="H14" s="177"/>
    </row>
    <row r="15" spans="1:8" ht="14.5" x14ac:dyDescent="0.35">
      <c r="A15" s="121" t="s">
        <v>88</v>
      </c>
      <c r="B15" s="122" t="s">
        <v>85</v>
      </c>
      <c r="C15" s="123" t="s">
        <v>89</v>
      </c>
      <c r="D15" s="178">
        <v>6593490</v>
      </c>
      <c r="E15" s="178">
        <f>SUM($D$2:D15)</f>
        <v>8984965</v>
      </c>
      <c r="F15" s="178"/>
      <c r="G15" s="178"/>
      <c r="H15" s="178"/>
    </row>
    <row r="16" spans="1:8" ht="14.5" x14ac:dyDescent="0.35">
      <c r="A16" s="103" t="s">
        <v>75</v>
      </c>
      <c r="B16" s="104" t="s">
        <v>76</v>
      </c>
      <c r="C16" s="105" t="s">
        <v>77</v>
      </c>
      <c r="D16" s="179">
        <v>24470</v>
      </c>
      <c r="E16" s="179"/>
      <c r="F16" s="179"/>
      <c r="G16" s="179"/>
      <c r="H16" s="179"/>
    </row>
    <row r="17" spans="1:8" ht="14.5" x14ac:dyDescent="0.35">
      <c r="A17" s="106" t="s">
        <v>78</v>
      </c>
      <c r="B17" s="107" t="s">
        <v>76</v>
      </c>
      <c r="C17" s="108" t="s">
        <v>79</v>
      </c>
      <c r="D17" s="180">
        <v>69000</v>
      </c>
      <c r="E17" s="180"/>
      <c r="F17" s="180"/>
      <c r="G17" s="180"/>
      <c r="H17" s="180"/>
    </row>
    <row r="18" spans="1:8" ht="14.5" x14ac:dyDescent="0.35">
      <c r="A18" s="109" t="s">
        <v>80</v>
      </c>
      <c r="B18" s="110" t="s">
        <v>76</v>
      </c>
      <c r="C18" s="111" t="s">
        <v>81</v>
      </c>
      <c r="D18" s="181">
        <v>1404324</v>
      </c>
      <c r="E18" s="181"/>
      <c r="F18" s="181"/>
      <c r="G18" s="181"/>
      <c r="H18" s="181"/>
    </row>
    <row r="19" spans="1:8" ht="14.5" x14ac:dyDescent="0.35">
      <c r="A19" s="112" t="s">
        <v>82</v>
      </c>
      <c r="B19" s="113" t="s">
        <v>76</v>
      </c>
      <c r="C19" s="114" t="s">
        <v>83</v>
      </c>
      <c r="D19" s="182">
        <v>536160</v>
      </c>
      <c r="E19" s="182"/>
      <c r="F19" s="182"/>
      <c r="G19" s="182"/>
      <c r="H19" s="182"/>
    </row>
    <row r="20" spans="1:8" ht="14.5" x14ac:dyDescent="0.35">
      <c r="A20" s="97" t="s">
        <v>71</v>
      </c>
      <c r="B20" s="98" t="s">
        <v>72</v>
      </c>
      <c r="C20" s="99" t="s">
        <v>40</v>
      </c>
      <c r="D20" s="183">
        <v>199437</v>
      </c>
      <c r="E20" s="183"/>
      <c r="F20" s="183"/>
      <c r="G20" s="183"/>
      <c r="H20" s="183"/>
    </row>
    <row r="21" spans="1:8" ht="14.5" x14ac:dyDescent="0.35">
      <c r="A21" s="100" t="s">
        <v>73</v>
      </c>
      <c r="B21" s="101" t="s">
        <v>72</v>
      </c>
      <c r="C21" s="102" t="s">
        <v>74</v>
      </c>
      <c r="D21" s="184">
        <v>52800</v>
      </c>
      <c r="E21" s="184"/>
      <c r="F21" s="184"/>
      <c r="G21" s="184"/>
      <c r="H21" s="184"/>
    </row>
    <row r="22" spans="1:8" ht="14.5" x14ac:dyDescent="0.35">
      <c r="A22" s="94" t="s">
        <v>68</v>
      </c>
      <c r="B22" s="95" t="s">
        <v>69</v>
      </c>
      <c r="C22" s="96" t="s">
        <v>70</v>
      </c>
      <c r="D22" s="185">
        <v>10000</v>
      </c>
      <c r="E22" s="185"/>
      <c r="F22" s="185"/>
      <c r="G22" s="185"/>
      <c r="H22" s="185"/>
    </row>
    <row r="23" spans="1:8" ht="14.5" x14ac:dyDescent="0.35">
      <c r="A23" s="82" t="s">
        <v>63</v>
      </c>
      <c r="B23" s="83" t="s">
        <v>14</v>
      </c>
      <c r="C23" s="84" t="s">
        <v>15</v>
      </c>
      <c r="D23" s="186">
        <v>-12000000</v>
      </c>
      <c r="E23" s="186"/>
      <c r="F23" s="186"/>
      <c r="G23" s="186"/>
      <c r="H23" s="186"/>
    </row>
    <row r="24" spans="1:8" ht="14.5" x14ac:dyDescent="0.35">
      <c r="A24" s="85" t="s">
        <v>64</v>
      </c>
      <c r="B24" s="86" t="s">
        <v>14</v>
      </c>
      <c r="C24" s="87" t="s">
        <v>15</v>
      </c>
      <c r="D24" s="187">
        <v>-752466</v>
      </c>
      <c r="E24" s="187"/>
      <c r="F24" s="187"/>
      <c r="G24" s="187"/>
      <c r="H24" s="187"/>
    </row>
    <row r="25" spans="1:8" ht="14.5" x14ac:dyDescent="0.35">
      <c r="A25" s="88" t="s">
        <v>65</v>
      </c>
      <c r="B25" s="89" t="s">
        <v>14</v>
      </c>
      <c r="C25" s="90" t="s">
        <v>66</v>
      </c>
      <c r="D25" s="188">
        <v>890020</v>
      </c>
      <c r="E25" s="188"/>
      <c r="F25" s="188"/>
      <c r="G25" s="188"/>
      <c r="H25" s="188"/>
    </row>
    <row r="26" spans="1:8" ht="14.5" x14ac:dyDescent="0.35">
      <c r="A26" s="91" t="s">
        <v>67</v>
      </c>
      <c r="B26" s="92" t="s">
        <v>14</v>
      </c>
      <c r="C26" s="93" t="s">
        <v>66</v>
      </c>
      <c r="D26" s="189">
        <v>2709260</v>
      </c>
      <c r="E26" s="189"/>
      <c r="F26" s="189"/>
      <c r="G26" s="189"/>
      <c r="H26" s="189"/>
    </row>
    <row r="27" spans="1:8" ht="14.5" x14ac:dyDescent="0.35">
      <c r="A27" s="76" t="s">
        <v>58</v>
      </c>
      <c r="B27" s="77" t="s">
        <v>59</v>
      </c>
      <c r="C27" s="78" t="s">
        <v>60</v>
      </c>
      <c r="D27" s="190">
        <v>24990</v>
      </c>
      <c r="E27" s="190"/>
      <c r="F27" s="190"/>
      <c r="G27" s="190"/>
      <c r="H27" s="190"/>
    </row>
    <row r="28" spans="1:8" ht="14.5" x14ac:dyDescent="0.35">
      <c r="A28" s="79" t="s">
        <v>61</v>
      </c>
      <c r="B28" s="80" t="s">
        <v>59</v>
      </c>
      <c r="C28" s="81" t="s">
        <v>62</v>
      </c>
      <c r="D28" s="191">
        <v>826700</v>
      </c>
      <c r="E28" s="191"/>
      <c r="F28" s="191"/>
      <c r="G28" s="191"/>
      <c r="H28" s="191"/>
    </row>
    <row r="29" spans="1:8" ht="14.5" x14ac:dyDescent="0.35">
      <c r="A29" s="73" t="s">
        <v>56</v>
      </c>
      <c r="B29" s="74" t="s">
        <v>57</v>
      </c>
      <c r="C29" s="75" t="s">
        <v>48</v>
      </c>
      <c r="D29" s="192">
        <v>872008</v>
      </c>
      <c r="E29" s="178">
        <f>SUM($D$2:D29)</f>
        <v>3851668</v>
      </c>
      <c r="F29" s="192"/>
      <c r="G29" s="192"/>
      <c r="H29" s="192"/>
    </row>
    <row r="30" spans="1:8" ht="14.5" x14ac:dyDescent="0.35">
      <c r="A30" s="64" t="s">
        <v>50</v>
      </c>
      <c r="B30" s="65" t="s">
        <v>51</v>
      </c>
      <c r="C30" s="66" t="s">
        <v>24</v>
      </c>
      <c r="D30" s="193">
        <v>145036</v>
      </c>
      <c r="E30" s="193"/>
      <c r="F30" s="193"/>
      <c r="G30" s="193"/>
      <c r="H30" s="193"/>
    </row>
    <row r="31" spans="1:8" ht="14.5" x14ac:dyDescent="0.35">
      <c r="A31" s="67" t="s">
        <v>52</v>
      </c>
      <c r="B31" s="68" t="s">
        <v>51</v>
      </c>
      <c r="C31" s="69" t="s">
        <v>53</v>
      </c>
      <c r="D31" s="194">
        <v>36000</v>
      </c>
      <c r="E31" s="194"/>
      <c r="F31" s="194"/>
      <c r="G31" s="194"/>
      <c r="H31" s="194"/>
    </row>
    <row r="32" spans="1:8" ht="14.5" x14ac:dyDescent="0.35">
      <c r="A32" s="70" t="s">
        <v>54</v>
      </c>
      <c r="B32" s="71" t="s">
        <v>51</v>
      </c>
      <c r="C32" s="72" t="s">
        <v>55</v>
      </c>
      <c r="D32" s="195">
        <v>41900</v>
      </c>
      <c r="E32" s="195"/>
      <c r="F32" s="195"/>
      <c r="G32" s="195"/>
      <c r="H32" s="195"/>
    </row>
    <row r="33" spans="1:8" ht="14.5" x14ac:dyDescent="0.35">
      <c r="A33" s="58" t="s">
        <v>46</v>
      </c>
      <c r="B33" s="59" t="s">
        <v>47</v>
      </c>
      <c r="C33" s="60" t="s">
        <v>48</v>
      </c>
      <c r="D33" s="196">
        <v>753177</v>
      </c>
      <c r="E33" s="196"/>
      <c r="F33" s="196"/>
      <c r="G33" s="196"/>
      <c r="H33" s="196"/>
    </row>
    <row r="34" spans="1:8" ht="14.5" x14ac:dyDescent="0.35">
      <c r="A34" s="61" t="s">
        <v>49</v>
      </c>
      <c r="B34" s="62" t="s">
        <v>47</v>
      </c>
      <c r="C34" s="63" t="s">
        <v>40</v>
      </c>
      <c r="D34" s="197">
        <v>38610</v>
      </c>
      <c r="E34" s="197"/>
      <c r="F34" s="197"/>
      <c r="G34" s="197"/>
      <c r="H34" s="197"/>
    </row>
    <row r="35" spans="1:8" ht="14.5" x14ac:dyDescent="0.35">
      <c r="A35" s="52" t="s">
        <v>43</v>
      </c>
      <c r="B35" s="53" t="s">
        <v>44</v>
      </c>
      <c r="C35" s="54" t="s">
        <v>42</v>
      </c>
      <c r="D35" s="198">
        <v>58144</v>
      </c>
      <c r="E35" s="198"/>
      <c r="F35" s="198"/>
      <c r="G35" s="198"/>
      <c r="H35" s="198"/>
    </row>
    <row r="36" spans="1:8" ht="14.5" x14ac:dyDescent="0.35">
      <c r="A36" s="55" t="s">
        <v>45</v>
      </c>
      <c r="B36" s="56" t="s">
        <v>44</v>
      </c>
      <c r="C36" s="57" t="s">
        <v>42</v>
      </c>
      <c r="D36" s="199">
        <v>42388</v>
      </c>
      <c r="E36" s="199"/>
      <c r="F36" s="199"/>
      <c r="G36" s="199"/>
      <c r="H36" s="199"/>
    </row>
    <row r="37" spans="1:8" ht="14.5" x14ac:dyDescent="0.35">
      <c r="A37" s="43" t="s">
        <v>36</v>
      </c>
      <c r="B37" s="44" t="s">
        <v>37</v>
      </c>
      <c r="C37" s="45" t="s">
        <v>38</v>
      </c>
      <c r="D37" s="200">
        <v>100000</v>
      </c>
      <c r="E37" s="200"/>
      <c r="F37" s="200"/>
      <c r="G37" s="200"/>
      <c r="H37" s="200"/>
    </row>
    <row r="38" spans="1:8" ht="14.5" x14ac:dyDescent="0.35">
      <c r="A38" s="46" t="s">
        <v>39</v>
      </c>
      <c r="B38" s="47" t="s">
        <v>37</v>
      </c>
      <c r="C38" s="48" t="s">
        <v>40</v>
      </c>
      <c r="D38" s="201">
        <v>89472</v>
      </c>
      <c r="E38" s="201"/>
      <c r="F38" s="201"/>
      <c r="G38" s="201"/>
      <c r="H38" s="201"/>
    </row>
    <row r="39" spans="1:8" ht="14.5" x14ac:dyDescent="0.35">
      <c r="A39" s="49" t="s">
        <v>41</v>
      </c>
      <c r="B39" s="50" t="s">
        <v>37</v>
      </c>
      <c r="C39" s="51" t="s">
        <v>42</v>
      </c>
      <c r="D39" s="202">
        <v>67096</v>
      </c>
      <c r="E39" s="202"/>
      <c r="F39" s="202"/>
      <c r="G39" s="202"/>
      <c r="H39" s="202"/>
    </row>
    <row r="40" spans="1:8" ht="14.5" x14ac:dyDescent="0.35">
      <c r="A40" s="40" t="s">
        <v>33</v>
      </c>
      <c r="B40" s="41" t="s">
        <v>34</v>
      </c>
      <c r="C40" s="42" t="s">
        <v>35</v>
      </c>
      <c r="D40" s="203">
        <v>407780</v>
      </c>
      <c r="E40" s="203"/>
      <c r="F40" s="203"/>
      <c r="G40" s="203"/>
      <c r="H40" s="203"/>
    </row>
    <row r="41" spans="1:8" ht="14.5" x14ac:dyDescent="0.35">
      <c r="A41" s="37" t="s">
        <v>30</v>
      </c>
      <c r="B41" s="38" t="s">
        <v>31</v>
      </c>
      <c r="C41" s="39" t="s">
        <v>32</v>
      </c>
      <c r="D41" s="204">
        <v>160871</v>
      </c>
      <c r="E41" s="204"/>
      <c r="F41" s="204"/>
      <c r="G41" s="204"/>
      <c r="H41" s="204"/>
    </row>
    <row r="42" spans="1:8" ht="14.5" x14ac:dyDescent="0.35">
      <c r="A42" s="34" t="s">
        <v>29</v>
      </c>
      <c r="B42" s="35" t="s">
        <v>8</v>
      </c>
      <c r="C42" s="36" t="s">
        <v>26</v>
      </c>
      <c r="D42" s="205">
        <v>10000</v>
      </c>
      <c r="E42" s="205"/>
      <c r="F42" s="205"/>
      <c r="G42" s="205"/>
      <c r="H42" s="205"/>
    </row>
    <row r="43" spans="1:8" ht="14.5" x14ac:dyDescent="0.35">
      <c r="A43" s="25" t="s">
        <v>22</v>
      </c>
      <c r="B43" s="26" t="s">
        <v>23</v>
      </c>
      <c r="C43" s="27" t="s">
        <v>24</v>
      </c>
      <c r="D43" s="206">
        <v>95750</v>
      </c>
      <c r="E43" s="206"/>
      <c r="F43" s="206"/>
      <c r="G43" s="206"/>
      <c r="H43" s="206"/>
    </row>
    <row r="44" spans="1:8" ht="14.5" x14ac:dyDescent="0.35">
      <c r="A44" s="28" t="s">
        <v>25</v>
      </c>
      <c r="B44" s="29" t="s">
        <v>23</v>
      </c>
      <c r="C44" s="30" t="s">
        <v>26</v>
      </c>
      <c r="D44" s="207">
        <v>39600</v>
      </c>
      <c r="E44" s="207"/>
      <c r="F44" s="207"/>
      <c r="G44" s="207"/>
      <c r="H44" s="207"/>
    </row>
    <row r="45" spans="1:8" ht="14.5" x14ac:dyDescent="0.35">
      <c r="A45" s="31" t="s">
        <v>27</v>
      </c>
      <c r="B45" s="32" t="s">
        <v>23</v>
      </c>
      <c r="C45" s="33" t="s">
        <v>28</v>
      </c>
      <c r="D45" s="208">
        <v>329300</v>
      </c>
      <c r="E45" s="208"/>
      <c r="F45" s="208"/>
      <c r="G45" s="208"/>
      <c r="H45" s="208"/>
    </row>
    <row r="46" spans="1:8" ht="14.5" x14ac:dyDescent="0.35">
      <c r="A46" s="22" t="s">
        <v>20</v>
      </c>
      <c r="B46" s="23" t="s">
        <v>2</v>
      </c>
      <c r="C46" s="24" t="s">
        <v>21</v>
      </c>
      <c r="D46" s="209">
        <v>48490</v>
      </c>
      <c r="E46" s="178">
        <f>SUM($D$2:D46)</f>
        <v>6315282</v>
      </c>
      <c r="F46" s="209"/>
      <c r="G46" s="209"/>
      <c r="H46" s="209"/>
    </row>
    <row r="47" spans="1:8" ht="14.5" x14ac:dyDescent="0.35"/>
    <row r="48" spans="1: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</sheetData>
  <sortState xmlns:xlrd2="http://schemas.microsoft.com/office/spreadsheetml/2017/richdata2" ref="A6:D46">
    <sortCondition ref="B6:B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DOLARES</vt:lpstr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ParadocXlsBuiderV2</dc:creator>
  <cp:lastModifiedBy>Sergio Lalinde</cp:lastModifiedBy>
  <dcterms:created xsi:type="dcterms:W3CDTF">2025-01-04T00:23:41Z</dcterms:created>
  <dcterms:modified xsi:type="dcterms:W3CDTF">2025-01-04T01:52:48Z</dcterms:modified>
</cp:coreProperties>
</file>